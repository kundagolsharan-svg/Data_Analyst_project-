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ookup Demo" sheetId="4" state="visible" r:id="rId4"/>
  </sheets>
  <definedNames>
    <definedName name="_xlnm._FilterDatabase" localSheetId="1" hidden="1">'Raw Data'!$A$1:$M$2019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%"/>
    <numFmt numFmtId="167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color rgb="001F4E78"/>
      <sz val="12"/>
    </font>
    <font>
      <name val="Arial"/>
      <b val="1"/>
    </font>
    <font>
      <name val="Arial"/>
      <b val="1"/>
      <color rgb="001F4E78"/>
      <sz val="20"/>
    </font>
    <font>
      <name val="Arial"/>
      <color rgb="00666666"/>
      <sz val="10"/>
    </font>
    <font>
      <name val="Arial"/>
      <b val="1"/>
      <color rgb="001F4E78"/>
      <sz val="1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FF6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0" borderId="4" pivotButton="0" quotePrefix="0" xfId="0"/>
    <xf numFmtId="0" fontId="7" fillId="4" borderId="1" pivotButton="0" quotePrefix="0" xfId="0"/>
    <xf numFmtId="167" fontId="8" fillId="4" borderId="1" pivotButton="0" quotePrefix="0" xfId="0"/>
    <xf numFmtId="3" fontId="8" fillId="4" borderId="1" pivotButton="0" quotePrefix="0" xfId="0"/>
    <xf numFmtId="166" fontId="8" fillId="4" borderId="1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'Summary'!$A$6:$A$9</f>
            </numRef>
          </cat>
          <val>
            <numRef>
              <f>'Summary'!$C$6:$C$9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'Summary'!$A$22:$A$45</f>
            </numRef>
          </cat>
          <val>
            <numRef>
              <f>'Summary'!$B$22:$B$45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'Summary'!$A$15:$A$17</f>
            </numRef>
          </cat>
          <val>
            <numRef>
              <f>'Summary'!$C$15:$C$17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27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M2019" headerRowCount="1">
  <autoFilter ref="A1:M2019"/>
  <tableColumns count="13">
    <tableColumn id="1" name="OrderID"/>
    <tableColumn id="2" name="OrderDate"/>
    <tableColumn id="3" name="CustomerName"/>
    <tableColumn id="4" name="Region"/>
    <tableColumn id="5" name="Category"/>
    <tableColumn id="6" name="Product"/>
    <tableColumn id="7" name="ShipMode"/>
    <tableColumn id="8" name="Quantity"/>
    <tableColumn id="9" name="UnitPrice"/>
    <tableColumn id="10" name="Discount"/>
    <tableColumn id="11" name="Sales"/>
    <tableColumn id="12" name="Profit"/>
    <tableColumn id="13" name="ProfitMargi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" t="inlineStr">
        <is>
          <t>Sales Performance Dashboard</t>
        </is>
      </c>
    </row>
    <row r="3">
      <c r="B3" s="2" t="inlineStr">
        <is>
          <t>Sample retail dataset · Jan 2024 – Dec 2025</t>
        </is>
      </c>
    </row>
    <row r="5">
      <c r="B5" s="3" t="n"/>
      <c r="C5" s="4" t="n"/>
      <c r="E5" s="3" t="n"/>
      <c r="F5" s="4" t="n"/>
      <c r="H5" s="3" t="n"/>
      <c r="I5" s="4" t="n"/>
      <c r="K5" s="3" t="n"/>
      <c r="L5" s="4" t="n"/>
    </row>
    <row r="6">
      <c r="B6" s="5" t="inlineStr">
        <is>
          <t>Total Revenue</t>
        </is>
      </c>
      <c r="C6" s="4" t="n"/>
      <c r="E6" s="5" t="inlineStr">
        <is>
          <t>Total Profit</t>
        </is>
      </c>
      <c r="F6" s="4" t="n"/>
      <c r="H6" s="5" t="inlineStr">
        <is>
          <t>Total Orders</t>
        </is>
      </c>
      <c r="I6" s="4" t="n"/>
      <c r="K6" s="5" t="inlineStr">
        <is>
          <t>Overall Margin %</t>
        </is>
      </c>
      <c r="L6" s="4" t="n"/>
    </row>
    <row r="7">
      <c r="B7" s="6">
        <f>SUM(Summary!C6:C9)</f>
        <v/>
      </c>
      <c r="C7" s="4" t="n"/>
      <c r="E7" s="6">
        <f>SUM(Summary!D6:D9)</f>
        <v/>
      </c>
      <c r="F7" s="4" t="n"/>
      <c r="H7" s="7">
        <f>SUM(Summary!B6:B9)</f>
        <v/>
      </c>
      <c r="I7" s="4" t="n"/>
      <c r="K7" s="8">
        <f>SUM(Summary!D6:D9)/SUM(Summary!C6:C9)</f>
        <v/>
      </c>
      <c r="L7" s="4" t="n"/>
    </row>
    <row r="8">
      <c r="B8" s="3" t="n"/>
      <c r="C8" s="4" t="n"/>
      <c r="E8" s="3" t="n"/>
      <c r="F8" s="4" t="n"/>
      <c r="H8" s="3" t="n"/>
      <c r="I8" s="4" t="n"/>
      <c r="K8" s="3" t="n"/>
      <c r="L8" s="4" t="n"/>
    </row>
  </sheetData>
  <mergeCells count="16">
    <mergeCell ref="B6:C6"/>
    <mergeCell ref="K7:L7"/>
    <mergeCell ref="E6:F6"/>
    <mergeCell ref="H6:I6"/>
    <mergeCell ref="B7:C7"/>
    <mergeCell ref="E7:F7"/>
    <mergeCell ref="K8:L8"/>
    <mergeCell ref="B5:C5"/>
    <mergeCell ref="H7:I7"/>
    <mergeCell ref="E5:F5"/>
    <mergeCell ref="K5:L5"/>
    <mergeCell ref="H5:I5"/>
    <mergeCell ref="H8:I8"/>
    <mergeCell ref="K6:L6"/>
    <mergeCell ref="B8:C8"/>
    <mergeCell ref="E8:F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1">
      <c r="A1" s="9" t="inlineStr">
        <is>
          <t>OrderID</t>
        </is>
      </c>
      <c r="B1" s="9" t="inlineStr">
        <is>
          <t>OrderDate</t>
        </is>
      </c>
      <c r="C1" s="9" t="inlineStr">
        <is>
          <t>CustomerName</t>
        </is>
      </c>
      <c r="D1" s="9" t="inlineStr">
        <is>
          <t>Region</t>
        </is>
      </c>
      <c r="E1" s="9" t="inlineStr">
        <is>
          <t>Category</t>
        </is>
      </c>
      <c r="F1" s="9" t="inlineStr">
        <is>
          <t>Product</t>
        </is>
      </c>
      <c r="G1" s="9" t="inlineStr">
        <is>
          <t>ShipMode</t>
        </is>
      </c>
      <c r="H1" s="9" t="inlineStr">
        <is>
          <t>Quantity</t>
        </is>
      </c>
      <c r="I1" s="9" t="inlineStr">
        <is>
          <t>UnitPrice</t>
        </is>
      </c>
      <c r="J1" s="9" t="inlineStr">
        <is>
          <t>Discount</t>
        </is>
      </c>
      <c r="K1" s="9" t="inlineStr">
        <is>
          <t>Sales</t>
        </is>
      </c>
      <c r="L1" s="9" t="inlineStr">
        <is>
          <t>Profit</t>
        </is>
      </c>
      <c r="M1" s="9" t="inlineStr">
        <is>
          <t>ProfitMargin</t>
        </is>
      </c>
    </row>
    <row r="2">
      <c r="A2" t="inlineStr">
        <is>
          <t>ORD-10470</t>
        </is>
      </c>
      <c r="B2" s="10" t="inlineStr">
        <is>
          <t>2024-01-01</t>
        </is>
      </c>
      <c r="C2" t="inlineStr">
        <is>
          <t>Customer 102</t>
        </is>
      </c>
      <c r="D2" t="inlineStr">
        <is>
          <t>North</t>
        </is>
      </c>
      <c r="E2" t="inlineStr">
        <is>
          <t>Furniture</t>
        </is>
      </c>
      <c r="F2" t="inlineStr">
        <is>
          <t>Chair</t>
        </is>
      </c>
      <c r="G2" t="inlineStr">
        <is>
          <t>Standard Class</t>
        </is>
      </c>
      <c r="H2" t="n">
        <v>4</v>
      </c>
      <c r="I2" s="11" t="n">
        <v>720.24</v>
      </c>
      <c r="J2" s="12" t="n">
        <v>0</v>
      </c>
      <c r="K2" s="11" t="n">
        <v>2880.96</v>
      </c>
      <c r="L2" s="11" t="n">
        <v>1315.66</v>
      </c>
      <c r="M2" s="12" t="n">
        <v>0.4567</v>
      </c>
    </row>
    <row r="3">
      <c r="A3" t="inlineStr">
        <is>
          <t>ORD-11541</t>
        </is>
      </c>
      <c r="B3" s="10" t="inlineStr">
        <is>
          <t>2024-01-01</t>
        </is>
      </c>
      <c r="C3" t="inlineStr">
        <is>
          <t>Customer 74</t>
        </is>
      </c>
      <c r="D3" t="inlineStr">
        <is>
          <t>North</t>
        </is>
      </c>
      <c r="E3" t="inlineStr">
        <is>
          <t>Technology</t>
        </is>
      </c>
      <c r="F3" t="inlineStr">
        <is>
          <t>Monitor</t>
        </is>
      </c>
      <c r="G3" t="inlineStr">
        <is>
          <t>First Class</t>
        </is>
      </c>
      <c r="H3" t="n">
        <v>4</v>
      </c>
      <c r="I3" s="11" t="n">
        <v>394.73</v>
      </c>
      <c r="J3" s="12" t="n">
        <v>0.15</v>
      </c>
      <c r="K3" s="11" t="n">
        <v>1342.08</v>
      </c>
      <c r="L3" s="11" t="n">
        <v>546.8099999999999</v>
      </c>
      <c r="M3" s="12" t="n">
        <v>0.4074</v>
      </c>
    </row>
    <row r="4">
      <c r="A4" t="inlineStr">
        <is>
          <t>ORD-11817</t>
        </is>
      </c>
      <c r="B4" s="10" t="inlineStr">
        <is>
          <t>2024-01-01</t>
        </is>
      </c>
      <c r="C4" t="inlineStr">
        <is>
          <t>Customer 183</t>
        </is>
      </c>
      <c r="D4" t="inlineStr">
        <is>
          <t>South</t>
        </is>
      </c>
      <c r="E4" t="inlineStr">
        <is>
          <t>Furniture</t>
        </is>
      </c>
      <c r="F4" t="inlineStr">
        <is>
          <t>Desk</t>
        </is>
      </c>
      <c r="G4" t="inlineStr">
        <is>
          <t>Second Class</t>
        </is>
      </c>
      <c r="H4" t="n">
        <v>8</v>
      </c>
      <c r="I4" s="11" t="n">
        <v>743.3200000000001</v>
      </c>
      <c r="J4" s="12" t="n">
        <v>0.15</v>
      </c>
      <c r="K4" s="11" t="n">
        <v>5054.58</v>
      </c>
      <c r="L4" s="11" t="n">
        <v>1238.22</v>
      </c>
      <c r="M4" s="12" t="n">
        <v>0.245</v>
      </c>
    </row>
    <row r="5">
      <c r="A5" t="inlineStr">
        <is>
          <t>ORD-11160</t>
        </is>
      </c>
      <c r="B5" s="10" t="inlineStr">
        <is>
          <t>2024-01-02</t>
        </is>
      </c>
      <c r="C5" t="inlineStr">
        <is>
          <t>Customer 58</t>
        </is>
      </c>
      <c r="D5" t="inlineStr">
        <is>
          <t>North</t>
        </is>
      </c>
      <c r="E5" t="inlineStr">
        <is>
          <t>Technology</t>
        </is>
      </c>
      <c r="F5" t="inlineStr">
        <is>
          <t>Laptop</t>
        </is>
      </c>
      <c r="G5" t="inlineStr">
        <is>
          <t>Second Class</t>
        </is>
      </c>
      <c r="H5" t="n">
        <v>8</v>
      </c>
      <c r="I5" s="11" t="n">
        <v>598.8200000000001</v>
      </c>
      <c r="J5" s="12" t="n">
        <v>0.2</v>
      </c>
      <c r="K5" s="11" t="n">
        <v>3832.45</v>
      </c>
      <c r="L5" s="11" t="n">
        <v>477.06</v>
      </c>
      <c r="M5" s="12" t="n">
        <v>0.1245</v>
      </c>
    </row>
    <row r="6">
      <c r="A6" t="inlineStr">
        <is>
          <t>ORD-11262</t>
        </is>
      </c>
      <c r="B6" s="10" t="inlineStr">
        <is>
          <t>2024-01-02</t>
        </is>
      </c>
      <c r="C6" t="inlineStr">
        <is>
          <t>Customer 47</t>
        </is>
      </c>
      <c r="D6" t="inlineStr">
        <is>
          <t>South</t>
        </is>
      </c>
      <c r="E6" t="inlineStr">
        <is>
          <t>Furniture</t>
        </is>
      </c>
      <c r="F6" t="inlineStr">
        <is>
          <t>Desk</t>
        </is>
      </c>
      <c r="G6" t="inlineStr">
        <is>
          <t>Standard Class</t>
        </is>
      </c>
      <c r="H6" t="n">
        <v>11</v>
      </c>
      <c r="I6" s="11" t="n">
        <v>416.67</v>
      </c>
      <c r="J6" s="12" t="n">
        <v>0.1</v>
      </c>
      <c r="K6" s="11" t="n">
        <v>4125.03</v>
      </c>
      <c r="L6" s="11" t="n">
        <v>1202.72</v>
      </c>
      <c r="M6" s="12" t="n">
        <v>0.2916</v>
      </c>
    </row>
    <row r="7">
      <c r="A7" t="inlineStr">
        <is>
          <t>ORD-11180</t>
        </is>
      </c>
      <c r="B7" s="10" t="inlineStr">
        <is>
          <t>2024-01-03</t>
        </is>
      </c>
      <c r="C7" t="inlineStr">
        <is>
          <t>Customer 116</t>
        </is>
      </c>
      <c r="D7" t="inlineStr">
        <is>
          <t>East</t>
        </is>
      </c>
      <c r="E7" t="inlineStr">
        <is>
          <t>Technology</t>
        </is>
      </c>
      <c r="F7" t="inlineStr">
        <is>
          <t>Printer</t>
        </is>
      </c>
      <c r="G7" t="inlineStr">
        <is>
          <t>First Class</t>
        </is>
      </c>
      <c r="H7" t="n">
        <v>4</v>
      </c>
      <c r="I7" s="11" t="n">
        <v>874.4299999999999</v>
      </c>
      <c r="J7" s="12" t="n">
        <v>0</v>
      </c>
      <c r="K7" s="11" t="n">
        <v>3497.72</v>
      </c>
      <c r="L7" s="11" t="n">
        <v>551.9</v>
      </c>
      <c r="M7" s="12" t="n">
        <v>0.1578</v>
      </c>
    </row>
    <row r="8">
      <c r="A8" t="inlineStr">
        <is>
          <t>ORD-10301</t>
        </is>
      </c>
      <c r="B8" s="10" t="inlineStr">
        <is>
          <t>2024-01-03</t>
        </is>
      </c>
      <c r="C8" t="inlineStr">
        <is>
          <t>Customer 66</t>
        </is>
      </c>
      <c r="D8" t="inlineStr">
        <is>
          <t>South</t>
        </is>
      </c>
      <c r="E8" t="inlineStr">
        <is>
          <t>Office Supplies</t>
        </is>
      </c>
      <c r="F8" t="inlineStr">
        <is>
          <t>Paper</t>
        </is>
      </c>
      <c r="G8" t="inlineStr">
        <is>
          <t>Standard Class</t>
        </is>
      </c>
      <c r="H8" t="n">
        <v>1</v>
      </c>
      <c r="I8" s="11" t="n">
        <v>545.75</v>
      </c>
      <c r="J8" s="12" t="n">
        <v>0.15</v>
      </c>
      <c r="K8" s="11" t="n">
        <v>463.89</v>
      </c>
      <c r="L8" s="11" t="n">
        <v>129.15</v>
      </c>
      <c r="M8" s="12" t="n">
        <v>0.2784</v>
      </c>
    </row>
    <row r="9">
      <c r="A9" t="inlineStr">
        <is>
          <t>ORD-11326</t>
        </is>
      </c>
      <c r="B9" s="10" t="inlineStr">
        <is>
          <t>2024-01-03</t>
        </is>
      </c>
      <c r="C9" t="inlineStr">
        <is>
          <t>Customer 67</t>
        </is>
      </c>
      <c r="D9" t="inlineStr">
        <is>
          <t>West</t>
        </is>
      </c>
      <c r="E9" t="inlineStr">
        <is>
          <t>Furniture</t>
        </is>
      </c>
      <c r="F9" t="inlineStr">
        <is>
          <t>Bookcase</t>
        </is>
      </c>
      <c r="G9" t="inlineStr">
        <is>
          <t>First Class</t>
        </is>
      </c>
      <c r="H9" t="n">
        <v>5</v>
      </c>
      <c r="I9" s="11" t="n">
        <v>36.96</v>
      </c>
      <c r="J9" s="12" t="n">
        <v>0</v>
      </c>
      <c r="K9" s="11" t="n">
        <v>184.8</v>
      </c>
      <c r="L9" s="11" t="n">
        <v>88.77</v>
      </c>
      <c r="M9" s="12" t="n">
        <v>0.4804</v>
      </c>
    </row>
    <row r="10">
      <c r="A10" t="inlineStr">
        <is>
          <t>ORD-11590</t>
        </is>
      </c>
      <c r="B10" s="10" t="inlineStr">
        <is>
          <t>2024-01-03</t>
        </is>
      </c>
      <c r="C10" t="inlineStr">
        <is>
          <t>Customer 187</t>
        </is>
      </c>
      <c r="D10" t="inlineStr">
        <is>
          <t>North</t>
        </is>
      </c>
      <c r="E10" t="inlineStr">
        <is>
          <t>Office Supplies</t>
        </is>
      </c>
      <c r="F10" t="inlineStr">
        <is>
          <t>Stapler</t>
        </is>
      </c>
      <c r="G10" t="inlineStr">
        <is>
          <t>Second Class</t>
        </is>
      </c>
      <c r="H10" t="n">
        <v>4</v>
      </c>
      <c r="I10" s="11" t="n">
        <v>753.55</v>
      </c>
      <c r="J10" s="12" t="n">
        <v>0</v>
      </c>
      <c r="K10" s="11" t="n">
        <v>3014.2</v>
      </c>
      <c r="L10" s="11" t="n">
        <v>985.55</v>
      </c>
      <c r="M10" s="12" t="n">
        <v>0.327</v>
      </c>
    </row>
    <row r="11">
      <c r="A11" t="inlineStr">
        <is>
          <t>ORD-10110</t>
        </is>
      </c>
      <c r="B11" s="10" t="inlineStr">
        <is>
          <t>2024-01-03</t>
        </is>
      </c>
      <c r="C11" t="inlineStr">
        <is>
          <t>Customer 165</t>
        </is>
      </c>
      <c r="D11" t="inlineStr">
        <is>
          <t>South</t>
        </is>
      </c>
      <c r="E11" t="inlineStr">
        <is>
          <t>Furniture</t>
        </is>
      </c>
      <c r="F11" t="inlineStr">
        <is>
          <t>Table Lamp</t>
        </is>
      </c>
      <c r="G11" t="inlineStr">
        <is>
          <t>Standard Class</t>
        </is>
      </c>
      <c r="H11" t="n">
        <v>3</v>
      </c>
      <c r="I11" s="11" t="n">
        <v>24.81</v>
      </c>
      <c r="J11" s="12" t="n">
        <v>0.3</v>
      </c>
      <c r="K11" s="11" t="n">
        <v>52.1</v>
      </c>
      <c r="L11" s="11" t="n">
        <v>-0.35</v>
      </c>
      <c r="M11" s="12" t="n">
        <v>-0.0067</v>
      </c>
    </row>
    <row r="12">
      <c r="A12" t="inlineStr">
        <is>
          <t>ORD-11812</t>
        </is>
      </c>
      <c r="B12" s="10" t="inlineStr">
        <is>
          <t>2024-01-03</t>
        </is>
      </c>
      <c r="C12" t="inlineStr">
        <is>
          <t>Customer 27</t>
        </is>
      </c>
      <c r="D12" t="inlineStr">
        <is>
          <t>South</t>
        </is>
      </c>
      <c r="E12" t="inlineStr">
        <is>
          <t>Technology</t>
        </is>
      </c>
      <c r="F12" t="inlineStr">
        <is>
          <t>Printer</t>
        </is>
      </c>
      <c r="G12" t="inlineStr">
        <is>
          <t>Standard Class</t>
        </is>
      </c>
      <c r="H12" t="n">
        <v>5</v>
      </c>
      <c r="I12" s="11" t="n">
        <v>615.39</v>
      </c>
      <c r="J12" s="12" t="n">
        <v>0</v>
      </c>
      <c r="K12" s="11" t="n">
        <v>3076.95</v>
      </c>
      <c r="L12" s="11" t="n">
        <v>685.13</v>
      </c>
      <c r="M12" s="12" t="n">
        <v>0.2227</v>
      </c>
    </row>
    <row r="13">
      <c r="A13" t="inlineStr">
        <is>
          <t>ORD-10540</t>
        </is>
      </c>
      <c r="B13" s="10" t="inlineStr">
        <is>
          <t>2024-01-03</t>
        </is>
      </c>
      <c r="C13" t="inlineStr">
        <is>
          <t>Customer 36</t>
        </is>
      </c>
      <c r="D13" t="inlineStr">
        <is>
          <t>North</t>
        </is>
      </c>
      <c r="E13" t="inlineStr">
        <is>
          <t>Technology</t>
        </is>
      </c>
      <c r="F13" t="inlineStr">
        <is>
          <t>Wireless Mouse</t>
        </is>
      </c>
      <c r="G13" t="inlineStr">
        <is>
          <t>Standard Class</t>
        </is>
      </c>
      <c r="H13" t="n">
        <v>9</v>
      </c>
      <c r="I13" s="11" t="n">
        <v>176.12</v>
      </c>
      <c r="J13" s="12" t="n">
        <v>0</v>
      </c>
      <c r="K13" s="11" t="n">
        <v>1585.08</v>
      </c>
      <c r="L13" s="11" t="n">
        <v>682.16</v>
      </c>
      <c r="M13" s="12" t="n">
        <v>0.4304</v>
      </c>
    </row>
    <row r="14">
      <c r="A14" t="inlineStr">
        <is>
          <t>ORD-11995</t>
        </is>
      </c>
      <c r="B14" s="10" t="inlineStr">
        <is>
          <t>2024-01-04</t>
        </is>
      </c>
      <c r="C14" t="inlineStr">
        <is>
          <t>Customer 77</t>
        </is>
      </c>
      <c r="D14" t="inlineStr">
        <is>
          <t>South</t>
        </is>
      </c>
      <c r="E14" t="inlineStr">
        <is>
          <t>Office Supplies</t>
        </is>
      </c>
      <c r="F14" t="inlineStr">
        <is>
          <t>Binder</t>
        </is>
      </c>
      <c r="G14" t="inlineStr">
        <is>
          <t>First Class</t>
        </is>
      </c>
      <c r="H14" t="n">
        <v>7</v>
      </c>
      <c r="I14" s="11" t="n">
        <v>1153.64</v>
      </c>
      <c r="J14" s="12" t="n">
        <v>0</v>
      </c>
      <c r="K14" s="11" t="n">
        <v>8075.48</v>
      </c>
      <c r="L14" s="11" t="n">
        <v>4031.27</v>
      </c>
      <c r="M14" s="12" t="n">
        <v>0.4992</v>
      </c>
    </row>
    <row r="15">
      <c r="A15" t="inlineStr">
        <is>
          <t>ORD-11910</t>
        </is>
      </c>
      <c r="B15" s="10" t="inlineStr">
        <is>
          <t>2024-01-04</t>
        </is>
      </c>
      <c r="C15" t="inlineStr">
        <is>
          <t>Customer 40</t>
        </is>
      </c>
      <c r="D15" t="inlineStr">
        <is>
          <t>East</t>
        </is>
      </c>
      <c r="E15" t="inlineStr">
        <is>
          <t>Furniture</t>
        </is>
      </c>
      <c r="F15" t="inlineStr">
        <is>
          <t>Bookcase</t>
        </is>
      </c>
      <c r="G15" t="inlineStr">
        <is>
          <t>First Class</t>
        </is>
      </c>
      <c r="H15" t="n">
        <v>11</v>
      </c>
      <c r="I15" s="11" t="n">
        <v>250.86</v>
      </c>
      <c r="J15" s="12" t="n">
        <v>0</v>
      </c>
      <c r="K15" s="11" t="n">
        <v>2759.46</v>
      </c>
      <c r="L15" s="11" t="n">
        <v>701.51</v>
      </c>
      <c r="M15" s="12" t="n">
        <v>0.2542</v>
      </c>
    </row>
    <row r="16">
      <c r="A16" t="inlineStr">
        <is>
          <t>ORD-10539</t>
        </is>
      </c>
      <c r="B16" s="10" t="inlineStr">
        <is>
          <t>2024-01-04</t>
        </is>
      </c>
      <c r="C16" t="inlineStr">
        <is>
          <t>Customer 127</t>
        </is>
      </c>
      <c r="D16" t="inlineStr">
        <is>
          <t>North</t>
        </is>
      </c>
      <c r="E16" t="inlineStr">
        <is>
          <t>Office Supplies</t>
        </is>
      </c>
      <c r="F16" t="inlineStr">
        <is>
          <t>Binder</t>
        </is>
      </c>
      <c r="G16" t="inlineStr">
        <is>
          <t>Same Day</t>
        </is>
      </c>
      <c r="H16" t="n">
        <v>11</v>
      </c>
      <c r="I16" s="11" t="n">
        <v>528.79</v>
      </c>
      <c r="J16" s="12" t="n">
        <v>0</v>
      </c>
      <c r="K16" s="11" t="n">
        <v>5816.69</v>
      </c>
      <c r="L16" s="11" t="n">
        <v>2643.63</v>
      </c>
      <c r="M16" s="12" t="n">
        <v>0.4545</v>
      </c>
    </row>
    <row r="17">
      <c r="A17" t="inlineStr">
        <is>
          <t>ORD-10928</t>
        </is>
      </c>
      <c r="B17" s="10" t="inlineStr">
        <is>
          <t>2024-01-04</t>
        </is>
      </c>
      <c r="C17" t="inlineStr">
        <is>
          <t>Customer 200</t>
        </is>
      </c>
      <c r="D17" t="inlineStr">
        <is>
          <t>West</t>
        </is>
      </c>
      <c r="E17" t="inlineStr">
        <is>
          <t>Technology</t>
        </is>
      </c>
      <c r="F17" t="inlineStr">
        <is>
          <t>Laptop</t>
        </is>
      </c>
      <c r="G17" t="inlineStr">
        <is>
          <t>First Class</t>
        </is>
      </c>
      <c r="H17" t="n">
        <v>11</v>
      </c>
      <c r="I17" s="11" t="n">
        <v>644.09</v>
      </c>
      <c r="J17" s="12" t="n">
        <v>0</v>
      </c>
      <c r="K17" s="11" t="n">
        <v>7084.99</v>
      </c>
      <c r="L17" s="11" t="n">
        <v>2829.58</v>
      </c>
      <c r="M17" s="12" t="n">
        <v>0.3994</v>
      </c>
    </row>
    <row r="18">
      <c r="A18" t="inlineStr">
        <is>
          <t>ORD-10234</t>
        </is>
      </c>
      <c r="B18" s="10" t="inlineStr">
        <is>
          <t>2024-01-04</t>
        </is>
      </c>
      <c r="C18" t="inlineStr">
        <is>
          <t>Customer 149</t>
        </is>
      </c>
      <c r="D18" t="inlineStr">
        <is>
          <t>West</t>
        </is>
      </c>
      <c r="E18" t="inlineStr">
        <is>
          <t>Office Supplies</t>
        </is>
      </c>
      <c r="F18" t="inlineStr">
        <is>
          <t>Paper</t>
        </is>
      </c>
      <c r="G18" t="inlineStr">
        <is>
          <t>Standard Class</t>
        </is>
      </c>
      <c r="H18" t="n">
        <v>8</v>
      </c>
      <c r="I18" s="11" t="n">
        <v>687.54</v>
      </c>
      <c r="J18" s="12" t="n">
        <v>0.3</v>
      </c>
      <c r="K18" s="11" t="n">
        <v>3850.22</v>
      </c>
      <c r="L18" s="11" t="n">
        <v>1025.67</v>
      </c>
      <c r="M18" s="12" t="n">
        <v>0.2664</v>
      </c>
    </row>
    <row r="19">
      <c r="A19" t="inlineStr">
        <is>
          <t>ORD-10861</t>
        </is>
      </c>
      <c r="B19" s="10" t="inlineStr">
        <is>
          <t>2024-01-05</t>
        </is>
      </c>
      <c r="C19" t="inlineStr">
        <is>
          <t>Customer 112</t>
        </is>
      </c>
      <c r="D19" t="inlineStr">
        <is>
          <t>West</t>
        </is>
      </c>
      <c r="E19" t="inlineStr">
        <is>
          <t>Technology</t>
        </is>
      </c>
      <c r="F19" t="inlineStr">
        <is>
          <t>Laptop</t>
        </is>
      </c>
      <c r="G19" t="inlineStr">
        <is>
          <t>Standard Class</t>
        </is>
      </c>
      <c r="H19" t="n">
        <v>2</v>
      </c>
      <c r="I19" s="11" t="n">
        <v>643.63</v>
      </c>
      <c r="J19" s="12" t="n">
        <v>0.15</v>
      </c>
      <c r="K19" s="11" t="n">
        <v>1094.17</v>
      </c>
      <c r="L19" s="11" t="n">
        <v>112.87</v>
      </c>
      <c r="M19" s="12" t="n">
        <v>0.1032</v>
      </c>
    </row>
    <row r="20">
      <c r="A20" t="inlineStr">
        <is>
          <t>ORD-11990</t>
        </is>
      </c>
      <c r="B20" s="10" t="inlineStr">
        <is>
          <t>2024-01-05</t>
        </is>
      </c>
      <c r="C20" t="inlineStr">
        <is>
          <t>Customer 135</t>
        </is>
      </c>
      <c r="D20" t="inlineStr">
        <is>
          <t>West</t>
        </is>
      </c>
      <c r="E20" t="inlineStr">
        <is>
          <t>Office Supplies</t>
        </is>
      </c>
      <c r="F20" t="inlineStr">
        <is>
          <t>Binder</t>
        </is>
      </c>
      <c r="G20" t="inlineStr">
        <is>
          <t>Standard Class</t>
        </is>
      </c>
      <c r="H20" t="n">
        <v>5</v>
      </c>
      <c r="I20" s="11" t="n">
        <v>424.55</v>
      </c>
      <c r="J20" s="12" t="n">
        <v>0</v>
      </c>
      <c r="K20" s="11" t="n">
        <v>2122.75</v>
      </c>
      <c r="L20" s="11" t="n">
        <v>965.99</v>
      </c>
      <c r="M20" s="12" t="n">
        <v>0.4551</v>
      </c>
    </row>
    <row r="21">
      <c r="A21" t="inlineStr">
        <is>
          <t>ORD-11631</t>
        </is>
      </c>
      <c r="B21" s="10" t="inlineStr">
        <is>
          <t>2024-01-05</t>
        </is>
      </c>
      <c r="C21" t="inlineStr">
        <is>
          <t>Customer 41</t>
        </is>
      </c>
      <c r="D21" t="inlineStr">
        <is>
          <t>North</t>
        </is>
      </c>
      <c r="E21" t="inlineStr">
        <is>
          <t>Furniture</t>
        </is>
      </c>
      <c r="F21" t="inlineStr">
        <is>
          <t>Desk</t>
        </is>
      </c>
      <c r="G21" t="inlineStr">
        <is>
          <t>Same Day</t>
        </is>
      </c>
      <c r="H21" t="n">
        <v>6</v>
      </c>
      <c r="I21" s="11" t="n">
        <v>727.8</v>
      </c>
      <c r="J21" s="12" t="n">
        <v>0.15</v>
      </c>
      <c r="K21" s="11" t="n">
        <v>3711.78</v>
      </c>
      <c r="L21" s="11" t="n">
        <v>233.67</v>
      </c>
      <c r="M21" s="12" t="n">
        <v>0.063</v>
      </c>
    </row>
    <row r="22">
      <c r="A22" t="inlineStr">
        <is>
          <t>ORD-10518</t>
        </is>
      </c>
      <c r="B22" s="10" t="inlineStr">
        <is>
          <t>2024-01-05</t>
        </is>
      </c>
      <c r="C22" t="inlineStr">
        <is>
          <t>Customer 190</t>
        </is>
      </c>
      <c r="D22" t="inlineStr">
        <is>
          <t>South</t>
        </is>
      </c>
      <c r="E22" t="inlineStr">
        <is>
          <t>Technology</t>
        </is>
      </c>
      <c r="F22" t="inlineStr">
        <is>
          <t>Wireless Mouse</t>
        </is>
      </c>
      <c r="G22" t="inlineStr">
        <is>
          <t>First Class</t>
        </is>
      </c>
      <c r="H22" t="n">
        <v>4</v>
      </c>
      <c r="I22" s="11" t="n">
        <v>349.4</v>
      </c>
      <c r="J22" s="12" t="n">
        <v>0.1</v>
      </c>
      <c r="K22" s="11" t="n">
        <v>1257.84</v>
      </c>
      <c r="L22" s="11" t="n">
        <v>171.13</v>
      </c>
      <c r="M22" s="12" t="n">
        <v>0.1361</v>
      </c>
    </row>
    <row r="23">
      <c r="A23" t="inlineStr">
        <is>
          <t>ORD-11358</t>
        </is>
      </c>
      <c r="B23" s="10" t="inlineStr">
        <is>
          <t>2024-01-06</t>
        </is>
      </c>
      <c r="C23" t="inlineStr">
        <is>
          <t>Customer 160</t>
        </is>
      </c>
      <c r="D23" t="inlineStr">
        <is>
          <t>West</t>
        </is>
      </c>
      <c r="E23" t="inlineStr">
        <is>
          <t>Technology</t>
        </is>
      </c>
      <c r="F23" t="inlineStr">
        <is>
          <t>Printer</t>
        </is>
      </c>
      <c r="G23" t="inlineStr">
        <is>
          <t>First Class</t>
        </is>
      </c>
      <c r="H23" t="n">
        <v>4</v>
      </c>
      <c r="I23" s="11" t="n">
        <v>416.66</v>
      </c>
      <c r="J23" s="12" t="n">
        <v>0</v>
      </c>
      <c r="K23" s="11" t="n">
        <v>1666.64</v>
      </c>
      <c r="L23" s="11" t="n">
        <v>559.28</v>
      </c>
      <c r="M23" s="12" t="n">
        <v>0.3356</v>
      </c>
    </row>
    <row r="24">
      <c r="A24" t="inlineStr">
        <is>
          <t>ORD-10981</t>
        </is>
      </c>
      <c r="B24" s="10" t="inlineStr">
        <is>
          <t>2024-01-06</t>
        </is>
      </c>
      <c r="C24" t="inlineStr">
        <is>
          <t>Customer 13</t>
        </is>
      </c>
      <c r="D24" t="inlineStr">
        <is>
          <t>East</t>
        </is>
      </c>
      <c r="E24" t="inlineStr">
        <is>
          <t>Technology</t>
        </is>
      </c>
      <c r="F24" t="inlineStr">
        <is>
          <t>Laptop</t>
        </is>
      </c>
      <c r="G24" t="inlineStr">
        <is>
          <t>Same Day</t>
        </is>
      </c>
      <c r="H24" t="n">
        <v>7</v>
      </c>
      <c r="I24" s="11" t="n">
        <v>1190.17</v>
      </c>
      <c r="J24" s="12" t="n">
        <v>0</v>
      </c>
      <c r="K24" s="11" t="n">
        <v>8331.190000000001</v>
      </c>
      <c r="L24" s="11" t="n">
        <v>3830.18</v>
      </c>
      <c r="M24" s="12" t="n">
        <v>0.4597</v>
      </c>
    </row>
    <row r="25">
      <c r="A25" t="inlineStr">
        <is>
          <t>ORD-11171</t>
        </is>
      </c>
      <c r="B25" s="10" t="inlineStr">
        <is>
          <t>2024-01-06</t>
        </is>
      </c>
      <c r="C25" t="inlineStr">
        <is>
          <t>Customer 136</t>
        </is>
      </c>
      <c r="D25" t="inlineStr">
        <is>
          <t>South</t>
        </is>
      </c>
      <c r="E25" t="inlineStr">
        <is>
          <t>Technology</t>
        </is>
      </c>
      <c r="F25" t="inlineStr">
        <is>
          <t>Laptop</t>
        </is>
      </c>
      <c r="G25" t="inlineStr">
        <is>
          <t>Second Class</t>
        </is>
      </c>
      <c r="H25" t="n">
        <v>2</v>
      </c>
      <c r="I25" s="11" t="n">
        <v>558.3</v>
      </c>
      <c r="J25" s="12" t="n">
        <v>0</v>
      </c>
      <c r="K25" s="11" t="n">
        <v>1116.6</v>
      </c>
      <c r="L25" s="11" t="n">
        <v>297.97</v>
      </c>
      <c r="M25" s="12" t="n">
        <v>0.2669</v>
      </c>
    </row>
    <row r="26">
      <c r="A26" t="inlineStr">
        <is>
          <t>ORD-10029</t>
        </is>
      </c>
      <c r="B26" s="10" t="inlineStr">
        <is>
          <t>2024-01-06</t>
        </is>
      </c>
      <c r="C26" t="inlineStr">
        <is>
          <t>Customer 84</t>
        </is>
      </c>
      <c r="D26" t="inlineStr">
        <is>
          <t>West</t>
        </is>
      </c>
      <c r="E26" t="inlineStr">
        <is>
          <t>Furniture</t>
        </is>
      </c>
      <c r="F26" t="inlineStr">
        <is>
          <t>Chair</t>
        </is>
      </c>
      <c r="G26" t="inlineStr">
        <is>
          <t>Same Day</t>
        </is>
      </c>
      <c r="H26" t="n">
        <v>3</v>
      </c>
      <c r="I26" s="11" t="n">
        <v>687.62</v>
      </c>
      <c r="J26" s="12" t="n">
        <v>0</v>
      </c>
      <c r="K26" s="11" t="n">
        <v>2062.86</v>
      </c>
      <c r="L26" s="11" t="n">
        <v>995.87</v>
      </c>
      <c r="M26" s="12" t="n">
        <v>0.4828</v>
      </c>
    </row>
    <row r="27">
      <c r="A27" t="inlineStr">
        <is>
          <t>ORD-11330</t>
        </is>
      </c>
      <c r="B27" s="10" t="inlineStr">
        <is>
          <t>2024-01-07</t>
        </is>
      </c>
      <c r="C27" t="inlineStr">
        <is>
          <t>Customer 40</t>
        </is>
      </c>
      <c r="D27" t="inlineStr">
        <is>
          <t>East</t>
        </is>
      </c>
      <c r="E27" t="inlineStr">
        <is>
          <t>Office Supplies</t>
        </is>
      </c>
      <c r="F27" t="inlineStr">
        <is>
          <t>Stapler</t>
        </is>
      </c>
      <c r="G27" t="inlineStr">
        <is>
          <t>First Class</t>
        </is>
      </c>
      <c r="H27" t="n">
        <v>5</v>
      </c>
      <c r="I27" s="11" t="n">
        <v>793.76</v>
      </c>
      <c r="J27" s="12" t="n">
        <v>0</v>
      </c>
      <c r="K27" s="11" t="n">
        <v>3968.8</v>
      </c>
      <c r="L27" s="11" t="n">
        <v>978.05</v>
      </c>
      <c r="M27" s="12" t="n">
        <v>0.2464</v>
      </c>
    </row>
    <row r="28">
      <c r="A28" t="inlineStr">
        <is>
          <t>ORD-10352</t>
        </is>
      </c>
      <c r="B28" s="10" t="inlineStr">
        <is>
          <t>2024-01-07</t>
        </is>
      </c>
      <c r="C28" t="inlineStr">
        <is>
          <t>Customer 17</t>
        </is>
      </c>
      <c r="D28" t="inlineStr">
        <is>
          <t>East</t>
        </is>
      </c>
      <c r="E28" t="inlineStr">
        <is>
          <t>Technology</t>
        </is>
      </c>
      <c r="F28" t="inlineStr">
        <is>
          <t>Laptop</t>
        </is>
      </c>
      <c r="G28" t="inlineStr">
        <is>
          <t>Standard Class</t>
        </is>
      </c>
      <c r="H28" t="n">
        <v>7</v>
      </c>
      <c r="I28" s="11" t="n">
        <v>61.46</v>
      </c>
      <c r="J28" s="12" t="n">
        <v>0.1</v>
      </c>
      <c r="K28" s="11" t="n">
        <v>387.2</v>
      </c>
      <c r="L28" s="11" t="n">
        <v>23.44</v>
      </c>
      <c r="M28" s="12" t="n">
        <v>0.0605</v>
      </c>
    </row>
    <row r="29">
      <c r="A29" t="inlineStr">
        <is>
          <t>ORD-10277</t>
        </is>
      </c>
      <c r="B29" s="10" t="inlineStr">
        <is>
          <t>2024-01-08</t>
        </is>
      </c>
      <c r="C29" t="inlineStr">
        <is>
          <t>Customer 28</t>
        </is>
      </c>
      <c r="D29" t="inlineStr">
        <is>
          <t>West</t>
        </is>
      </c>
      <c r="E29" t="inlineStr">
        <is>
          <t>Furniture</t>
        </is>
      </c>
      <c r="F29" t="inlineStr">
        <is>
          <t>Chair</t>
        </is>
      </c>
      <c r="G29" t="inlineStr">
        <is>
          <t>Same Day</t>
        </is>
      </c>
      <c r="H29" t="n">
        <v>2</v>
      </c>
      <c r="I29" s="11" t="n">
        <v>788.77</v>
      </c>
      <c r="J29" s="12" t="n">
        <v>0</v>
      </c>
      <c r="K29" s="11" t="n">
        <v>1577.54</v>
      </c>
      <c r="L29" s="11" t="n">
        <v>752.91</v>
      </c>
      <c r="M29" s="12" t="n">
        <v>0.4773</v>
      </c>
    </row>
    <row r="30">
      <c r="A30" t="inlineStr">
        <is>
          <t>ORD-11457</t>
        </is>
      </c>
      <c r="B30" s="10" t="inlineStr">
        <is>
          <t>2024-01-08</t>
        </is>
      </c>
      <c r="C30" t="inlineStr">
        <is>
          <t>Customer 191</t>
        </is>
      </c>
      <c r="D30" t="inlineStr">
        <is>
          <t>East</t>
        </is>
      </c>
      <c r="E30" t="inlineStr">
        <is>
          <t>Technology</t>
        </is>
      </c>
      <c r="F30" t="inlineStr">
        <is>
          <t>Wireless Mouse</t>
        </is>
      </c>
      <c r="G30" t="inlineStr">
        <is>
          <t>First Class</t>
        </is>
      </c>
      <c r="H30" t="n">
        <v>7</v>
      </c>
      <c r="I30" s="11" t="n">
        <v>298.69</v>
      </c>
      <c r="J30" s="12" t="n">
        <v>0.15</v>
      </c>
      <c r="K30" s="11" t="n">
        <v>1777.21</v>
      </c>
      <c r="L30" s="11" t="n">
        <v>676.41</v>
      </c>
      <c r="M30" s="12" t="n">
        <v>0.3806</v>
      </c>
    </row>
    <row r="31">
      <c r="A31" t="inlineStr">
        <is>
          <t>ORD-11011</t>
        </is>
      </c>
      <c r="B31" s="10" t="inlineStr">
        <is>
          <t>2024-01-09</t>
        </is>
      </c>
      <c r="C31" t="inlineStr">
        <is>
          <t>Customer 27</t>
        </is>
      </c>
      <c r="D31" t="inlineStr">
        <is>
          <t>South</t>
        </is>
      </c>
      <c r="E31" t="inlineStr">
        <is>
          <t>Office Supplies</t>
        </is>
      </c>
      <c r="F31" t="inlineStr">
        <is>
          <t>Pens (Box)</t>
        </is>
      </c>
      <c r="G31" t="inlineStr">
        <is>
          <t>Standard Class</t>
        </is>
      </c>
      <c r="H31" t="n">
        <v>9</v>
      </c>
      <c r="I31" s="11" t="n">
        <v>575.01</v>
      </c>
      <c r="J31" s="12" t="n">
        <v>0</v>
      </c>
      <c r="K31" s="11" t="n">
        <v>5175.09</v>
      </c>
      <c r="L31" s="11" t="n">
        <v>1057.43</v>
      </c>
      <c r="M31" s="12" t="n">
        <v>0.2043</v>
      </c>
    </row>
    <row r="32">
      <c r="A32" t="inlineStr">
        <is>
          <t>ORD-10046</t>
        </is>
      </c>
      <c r="B32" s="10" t="inlineStr">
        <is>
          <t>2024-01-09</t>
        </is>
      </c>
      <c r="C32" t="inlineStr">
        <is>
          <t>Customer 13</t>
        </is>
      </c>
      <c r="D32" t="inlineStr">
        <is>
          <t>East</t>
        </is>
      </c>
      <c r="E32" t="inlineStr">
        <is>
          <t>Furniture</t>
        </is>
      </c>
      <c r="F32" t="inlineStr">
        <is>
          <t>Bookcase</t>
        </is>
      </c>
      <c r="G32" t="inlineStr">
        <is>
          <t>Second Class</t>
        </is>
      </c>
      <c r="H32" t="n">
        <v>6</v>
      </c>
      <c r="I32" s="11" t="n">
        <v>547.91</v>
      </c>
      <c r="J32" s="12" t="n">
        <v>0.15</v>
      </c>
      <c r="K32" s="11" t="n">
        <v>2794.34</v>
      </c>
      <c r="L32" s="11" t="n">
        <v>810.77</v>
      </c>
      <c r="M32" s="12" t="n">
        <v>0.2901</v>
      </c>
    </row>
    <row r="33">
      <c r="A33" t="inlineStr">
        <is>
          <t>ORD-11701</t>
        </is>
      </c>
      <c r="B33" s="10" t="inlineStr">
        <is>
          <t>2024-01-10</t>
        </is>
      </c>
      <c r="C33" t="inlineStr">
        <is>
          <t>Customer 91</t>
        </is>
      </c>
      <c r="D33" t="inlineStr">
        <is>
          <t>South</t>
        </is>
      </c>
      <c r="E33" t="inlineStr">
        <is>
          <t>Furniture</t>
        </is>
      </c>
      <c r="F33" t="inlineStr">
        <is>
          <t>Desk</t>
        </is>
      </c>
      <c r="G33" t="inlineStr">
        <is>
          <t>Same Day</t>
        </is>
      </c>
      <c r="H33" t="n">
        <v>2</v>
      </c>
      <c r="I33" s="11" t="n">
        <v>280.21</v>
      </c>
      <c r="J33" s="12" t="n">
        <v>0.1</v>
      </c>
      <c r="K33" s="11" t="n">
        <v>504.38</v>
      </c>
      <c r="L33" s="11" t="n">
        <v>184.87</v>
      </c>
      <c r="M33" s="12" t="n">
        <v>0.3665</v>
      </c>
    </row>
    <row r="34">
      <c r="A34" t="inlineStr">
        <is>
          <t>ORD-10563</t>
        </is>
      </c>
      <c r="B34" s="10" t="inlineStr">
        <is>
          <t>2024-01-10</t>
        </is>
      </c>
      <c r="C34" t="inlineStr">
        <is>
          <t>Customer 11</t>
        </is>
      </c>
      <c r="D34" t="inlineStr">
        <is>
          <t>East</t>
        </is>
      </c>
      <c r="E34" t="inlineStr">
        <is>
          <t>Office Supplies</t>
        </is>
      </c>
      <c r="F34" t="inlineStr">
        <is>
          <t>Stapler</t>
        </is>
      </c>
      <c r="G34" t="inlineStr">
        <is>
          <t>Standard Class</t>
        </is>
      </c>
      <c r="H34" t="n">
        <v>6</v>
      </c>
      <c r="I34" s="11" t="n">
        <v>415.86</v>
      </c>
      <c r="J34" s="12" t="n">
        <v>0</v>
      </c>
      <c r="K34" s="11" t="n">
        <v>2495.16</v>
      </c>
      <c r="L34" s="11" t="n">
        <v>1004.67</v>
      </c>
      <c r="M34" s="12" t="n">
        <v>0.4026</v>
      </c>
    </row>
    <row r="35">
      <c r="A35" t="inlineStr">
        <is>
          <t>ORD-10071</t>
        </is>
      </c>
      <c r="B35" s="10" t="inlineStr">
        <is>
          <t>2024-01-11</t>
        </is>
      </c>
      <c r="C35" t="inlineStr">
        <is>
          <t>Customer 193</t>
        </is>
      </c>
      <c r="D35" t="inlineStr">
        <is>
          <t>East</t>
        </is>
      </c>
      <c r="E35" t="inlineStr">
        <is>
          <t>Furniture</t>
        </is>
      </c>
      <c r="F35" t="inlineStr">
        <is>
          <t>Chair</t>
        </is>
      </c>
      <c r="G35" t="inlineStr">
        <is>
          <t>Second Class</t>
        </is>
      </c>
      <c r="H35" t="n">
        <v>4</v>
      </c>
      <c r="I35" s="11" t="n">
        <v>590.79</v>
      </c>
      <c r="J35" s="12" t="n">
        <v>0</v>
      </c>
      <c r="K35" s="11" t="n">
        <v>2363.16</v>
      </c>
      <c r="L35" s="11" t="n">
        <v>773.58</v>
      </c>
      <c r="M35" s="12" t="n">
        <v>0.3273</v>
      </c>
    </row>
    <row r="36">
      <c r="A36" t="inlineStr">
        <is>
          <t>ORD-11359</t>
        </is>
      </c>
      <c r="B36" s="10" t="inlineStr">
        <is>
          <t>2024-01-11</t>
        </is>
      </c>
      <c r="C36" t="inlineStr">
        <is>
          <t>Customer 133</t>
        </is>
      </c>
      <c r="D36" t="inlineStr">
        <is>
          <t>North</t>
        </is>
      </c>
      <c r="E36" t="inlineStr">
        <is>
          <t>Office Supplies</t>
        </is>
      </c>
      <c r="F36" t="inlineStr">
        <is>
          <t>Pens (Box)</t>
        </is>
      </c>
      <c r="G36" t="inlineStr">
        <is>
          <t>First Class</t>
        </is>
      </c>
      <c r="H36" t="n">
        <v>5</v>
      </c>
      <c r="I36" s="11" t="n">
        <v>423.97</v>
      </c>
      <c r="J36" s="12" t="n">
        <v>0</v>
      </c>
      <c r="K36" s="11" t="n">
        <v>2119.85</v>
      </c>
      <c r="L36" s="11" t="n">
        <v>851.25</v>
      </c>
      <c r="M36" s="12" t="n">
        <v>0.4016</v>
      </c>
    </row>
    <row r="37">
      <c r="A37" t="inlineStr">
        <is>
          <t>ORD-10997</t>
        </is>
      </c>
      <c r="B37" s="10" t="inlineStr">
        <is>
          <t>2024-01-11</t>
        </is>
      </c>
      <c r="C37" t="inlineStr">
        <is>
          <t>Customer 64</t>
        </is>
      </c>
      <c r="D37" t="inlineStr">
        <is>
          <t>West</t>
        </is>
      </c>
      <c r="E37" t="inlineStr">
        <is>
          <t>Technology</t>
        </is>
      </c>
      <c r="F37" t="inlineStr">
        <is>
          <t>Laptop</t>
        </is>
      </c>
      <c r="G37" t="inlineStr">
        <is>
          <t>Second Class</t>
        </is>
      </c>
      <c r="H37" t="n">
        <v>7</v>
      </c>
      <c r="I37" s="11" t="n">
        <v>535.0700000000001</v>
      </c>
      <c r="J37" s="12" t="n">
        <v>0.1</v>
      </c>
      <c r="K37" s="11" t="n">
        <v>3370.94</v>
      </c>
      <c r="L37" s="11" t="n">
        <v>228.03</v>
      </c>
      <c r="M37" s="12" t="n">
        <v>0.06759999999999999</v>
      </c>
    </row>
    <row r="38">
      <c r="A38" t="inlineStr">
        <is>
          <t>ORD-11212</t>
        </is>
      </c>
      <c r="B38" s="10" t="inlineStr">
        <is>
          <t>2024-01-11</t>
        </is>
      </c>
      <c r="C38" t="inlineStr">
        <is>
          <t>Customer 64</t>
        </is>
      </c>
      <c r="D38" t="inlineStr">
        <is>
          <t>West</t>
        </is>
      </c>
      <c r="E38" t="inlineStr">
        <is>
          <t>Technology</t>
        </is>
      </c>
      <c r="F38" t="inlineStr">
        <is>
          <t>Printer</t>
        </is>
      </c>
      <c r="G38" t="inlineStr">
        <is>
          <t>Same Day</t>
        </is>
      </c>
      <c r="H38" t="n">
        <v>8</v>
      </c>
      <c r="I38" s="11" t="n">
        <v>937.02</v>
      </c>
      <c r="J38" s="12" t="n">
        <v>0.15</v>
      </c>
      <c r="K38" s="11" t="n">
        <v>6371.74</v>
      </c>
      <c r="L38" s="11" t="n">
        <v>422.72</v>
      </c>
      <c r="M38" s="12" t="n">
        <v>0.0663</v>
      </c>
    </row>
    <row r="39">
      <c r="A39" t="inlineStr">
        <is>
          <t>ORD-11530</t>
        </is>
      </c>
      <c r="B39" s="10" t="inlineStr">
        <is>
          <t>2024-01-11</t>
        </is>
      </c>
      <c r="C39" t="inlineStr">
        <is>
          <t>Customer 96</t>
        </is>
      </c>
      <c r="D39" t="inlineStr">
        <is>
          <t>South</t>
        </is>
      </c>
      <c r="E39" t="inlineStr">
        <is>
          <t>Furniture</t>
        </is>
      </c>
      <c r="F39" t="inlineStr">
        <is>
          <t>Bookcase</t>
        </is>
      </c>
      <c r="G39" t="inlineStr">
        <is>
          <t>Second Class</t>
        </is>
      </c>
      <c r="H39" t="n">
        <v>11</v>
      </c>
      <c r="I39" s="11" t="n">
        <v>601.87</v>
      </c>
      <c r="J39" s="12" t="n">
        <v>0</v>
      </c>
      <c r="K39" s="11" t="n">
        <v>6620.57</v>
      </c>
      <c r="L39" s="11" t="n">
        <v>1783.93</v>
      </c>
      <c r="M39" s="12" t="n">
        <v>0.2695</v>
      </c>
    </row>
    <row r="40">
      <c r="A40" t="inlineStr">
        <is>
          <t>ORD-10600</t>
        </is>
      </c>
      <c r="B40" s="10" t="inlineStr">
        <is>
          <t>2024-01-11</t>
        </is>
      </c>
      <c r="C40" t="inlineStr">
        <is>
          <t>Customer 143</t>
        </is>
      </c>
      <c r="D40" t="inlineStr">
        <is>
          <t>South</t>
        </is>
      </c>
      <c r="E40" t="inlineStr">
        <is>
          <t>Furniture</t>
        </is>
      </c>
      <c r="F40" t="inlineStr">
        <is>
          <t>Chair</t>
        </is>
      </c>
      <c r="G40" t="inlineStr">
        <is>
          <t>Standard Class</t>
        </is>
      </c>
      <c r="H40" t="n">
        <v>3</v>
      </c>
      <c r="I40" s="11" t="n">
        <v>118.8</v>
      </c>
      <c r="J40" s="12" t="n">
        <v>0</v>
      </c>
      <c r="K40" s="11" t="n">
        <v>356.4</v>
      </c>
      <c r="L40" s="11" t="n">
        <v>135.83</v>
      </c>
      <c r="M40" s="12" t="n">
        <v>0.3811</v>
      </c>
    </row>
    <row r="41">
      <c r="A41" t="inlineStr">
        <is>
          <t>ORD-10860</t>
        </is>
      </c>
      <c r="B41" s="10" t="inlineStr">
        <is>
          <t>2024-01-12</t>
        </is>
      </c>
      <c r="C41" t="inlineStr">
        <is>
          <t>Customer 120</t>
        </is>
      </c>
      <c r="D41" t="inlineStr">
        <is>
          <t>North</t>
        </is>
      </c>
      <c r="E41" t="inlineStr">
        <is>
          <t>Office Supplies</t>
        </is>
      </c>
      <c r="F41" t="inlineStr">
        <is>
          <t>Binder</t>
        </is>
      </c>
      <c r="G41" t="inlineStr">
        <is>
          <t>Same Day</t>
        </is>
      </c>
      <c r="H41" t="n">
        <v>10</v>
      </c>
      <c r="I41" s="11" t="n">
        <v>88.45999999999999</v>
      </c>
      <c r="J41" s="12" t="n">
        <v>0</v>
      </c>
      <c r="K41" s="11" t="n">
        <v>884.6</v>
      </c>
      <c r="L41" s="11" t="n">
        <v>204.11</v>
      </c>
      <c r="M41" s="12" t="n">
        <v>0.2307</v>
      </c>
    </row>
    <row r="42">
      <c r="A42" t="inlineStr">
        <is>
          <t>ORD-11754</t>
        </is>
      </c>
      <c r="B42" s="10" t="inlineStr">
        <is>
          <t>2024-01-12</t>
        </is>
      </c>
      <c r="C42" t="inlineStr">
        <is>
          <t>Customer 29</t>
        </is>
      </c>
      <c r="D42" t="inlineStr">
        <is>
          <t>East</t>
        </is>
      </c>
      <c r="E42" t="inlineStr">
        <is>
          <t>Office Supplies</t>
        </is>
      </c>
      <c r="F42" t="inlineStr">
        <is>
          <t>Binder</t>
        </is>
      </c>
      <c r="G42" t="inlineStr">
        <is>
          <t>First Class</t>
        </is>
      </c>
      <c r="H42" t="n">
        <v>11</v>
      </c>
      <c r="I42" s="11" t="n">
        <v>1185.69</v>
      </c>
      <c r="J42" s="12" t="n">
        <v>0</v>
      </c>
      <c r="K42" s="11" t="n">
        <v>13042.59</v>
      </c>
      <c r="L42" s="11" t="n">
        <v>4723.27</v>
      </c>
      <c r="M42" s="12" t="n">
        <v>0.3621</v>
      </c>
    </row>
    <row r="43">
      <c r="A43" t="inlineStr">
        <is>
          <t>ORD-10699</t>
        </is>
      </c>
      <c r="B43" s="10" t="inlineStr">
        <is>
          <t>2024-01-12</t>
        </is>
      </c>
      <c r="C43" t="inlineStr">
        <is>
          <t>Customer 3</t>
        </is>
      </c>
      <c r="D43" t="inlineStr">
        <is>
          <t>East</t>
        </is>
      </c>
      <c r="E43" t="inlineStr">
        <is>
          <t>Office Supplies</t>
        </is>
      </c>
      <c r="F43" t="inlineStr">
        <is>
          <t>Paper</t>
        </is>
      </c>
      <c r="G43" t="inlineStr">
        <is>
          <t>Second Class</t>
        </is>
      </c>
      <c r="H43" t="n">
        <v>2</v>
      </c>
      <c r="I43" s="11" t="n">
        <v>269.01</v>
      </c>
      <c r="J43" s="12" t="n">
        <v>0</v>
      </c>
      <c r="K43" s="11" t="n">
        <v>538.02</v>
      </c>
      <c r="L43" s="11" t="n">
        <v>268.84</v>
      </c>
      <c r="M43" s="12" t="n">
        <v>0.4997</v>
      </c>
    </row>
    <row r="44">
      <c r="A44" t="inlineStr">
        <is>
          <t>ORD-11649</t>
        </is>
      </c>
      <c r="B44" s="10" t="inlineStr">
        <is>
          <t>2024-01-12</t>
        </is>
      </c>
      <c r="C44" t="inlineStr">
        <is>
          <t>Customer 110</t>
        </is>
      </c>
      <c r="D44" t="inlineStr">
        <is>
          <t>East</t>
        </is>
      </c>
      <c r="E44" t="inlineStr">
        <is>
          <t>Furniture</t>
        </is>
      </c>
      <c r="F44" t="inlineStr">
        <is>
          <t>Chair</t>
        </is>
      </c>
      <c r="G44" t="inlineStr">
        <is>
          <t>Standard Class</t>
        </is>
      </c>
      <c r="H44" t="n">
        <v>8</v>
      </c>
      <c r="I44" s="11" t="n">
        <v>126.22</v>
      </c>
      <c r="J44" s="12" t="n">
        <v>0</v>
      </c>
      <c r="K44" s="11" t="n">
        <v>1009.76</v>
      </c>
      <c r="L44" s="11" t="n">
        <v>241.84</v>
      </c>
      <c r="M44" s="12" t="n">
        <v>0.2395</v>
      </c>
    </row>
    <row r="45">
      <c r="A45" t="inlineStr">
        <is>
          <t>ORD-11403</t>
        </is>
      </c>
      <c r="B45" s="10" t="inlineStr">
        <is>
          <t>2024-01-12</t>
        </is>
      </c>
      <c r="C45" t="inlineStr">
        <is>
          <t>Customer 42</t>
        </is>
      </c>
      <c r="D45" t="inlineStr">
        <is>
          <t>West</t>
        </is>
      </c>
      <c r="E45" t="inlineStr">
        <is>
          <t>Furniture</t>
        </is>
      </c>
      <c r="F45" t="inlineStr">
        <is>
          <t>Chair</t>
        </is>
      </c>
      <c r="G45" t="inlineStr">
        <is>
          <t>First Class</t>
        </is>
      </c>
      <c r="H45" t="n">
        <v>1</v>
      </c>
      <c r="I45" s="11" t="n">
        <v>894.03</v>
      </c>
      <c r="J45" s="12" t="n">
        <v>0.3</v>
      </c>
      <c r="K45" s="11" t="n">
        <v>625.8200000000001</v>
      </c>
      <c r="L45" s="11" t="n">
        <v>-131.86</v>
      </c>
      <c r="M45" s="12" t="n">
        <v>-0.2107</v>
      </c>
    </row>
    <row r="46">
      <c r="A46" t="inlineStr">
        <is>
          <t>ORD-10570</t>
        </is>
      </c>
      <c r="B46" s="10" t="inlineStr">
        <is>
          <t>2024-01-12</t>
        </is>
      </c>
      <c r="C46" t="inlineStr">
        <is>
          <t>Customer 50</t>
        </is>
      </c>
      <c r="D46" t="inlineStr">
        <is>
          <t>West</t>
        </is>
      </c>
      <c r="E46" t="inlineStr">
        <is>
          <t>Furniture</t>
        </is>
      </c>
      <c r="F46" t="inlineStr">
        <is>
          <t>Desk</t>
        </is>
      </c>
      <c r="G46" t="inlineStr">
        <is>
          <t>Standard Class</t>
        </is>
      </c>
      <c r="H46" t="n">
        <v>2</v>
      </c>
      <c r="I46" s="11" t="n">
        <v>251.92</v>
      </c>
      <c r="J46" s="12" t="n">
        <v>0</v>
      </c>
      <c r="K46" s="11" t="n">
        <v>503.84</v>
      </c>
      <c r="L46" s="11" t="n">
        <v>220.49</v>
      </c>
      <c r="M46" s="12" t="n">
        <v>0.4376</v>
      </c>
    </row>
    <row r="47">
      <c r="A47" t="inlineStr">
        <is>
          <t>ORD-11602</t>
        </is>
      </c>
      <c r="B47" s="10" t="inlineStr">
        <is>
          <t>2024-01-13</t>
        </is>
      </c>
      <c r="C47" t="inlineStr">
        <is>
          <t>Customer 175</t>
        </is>
      </c>
      <c r="D47" t="inlineStr">
        <is>
          <t>East</t>
        </is>
      </c>
      <c r="E47" t="inlineStr">
        <is>
          <t>Office Supplies</t>
        </is>
      </c>
      <c r="F47" t="inlineStr">
        <is>
          <t>Paper</t>
        </is>
      </c>
      <c r="G47" t="inlineStr">
        <is>
          <t>Standard Class</t>
        </is>
      </c>
      <c r="H47" t="n">
        <v>4</v>
      </c>
      <c r="I47" s="11" t="n">
        <v>939.66</v>
      </c>
      <c r="J47" s="12" t="n">
        <v>0</v>
      </c>
      <c r="K47" s="11" t="n">
        <v>3758.64</v>
      </c>
      <c r="L47" s="11" t="n">
        <v>849.64</v>
      </c>
      <c r="M47" s="12" t="n">
        <v>0.226</v>
      </c>
    </row>
    <row r="48">
      <c r="A48" t="inlineStr">
        <is>
          <t>ORD-11115</t>
        </is>
      </c>
      <c r="B48" s="10" t="inlineStr">
        <is>
          <t>2024-01-14</t>
        </is>
      </c>
      <c r="C48" t="inlineStr">
        <is>
          <t>Customer 33</t>
        </is>
      </c>
      <c r="D48" t="inlineStr">
        <is>
          <t>North</t>
        </is>
      </c>
      <c r="E48" t="inlineStr">
        <is>
          <t>Furniture</t>
        </is>
      </c>
      <c r="F48" t="inlineStr">
        <is>
          <t>Bookcase</t>
        </is>
      </c>
      <c r="G48" t="inlineStr">
        <is>
          <t>First Class</t>
        </is>
      </c>
      <c r="H48" t="n">
        <v>10</v>
      </c>
      <c r="I48" s="11" t="n">
        <v>70.06</v>
      </c>
      <c r="J48" s="12" t="n">
        <v>0</v>
      </c>
      <c r="K48" s="11" t="n">
        <v>700.6</v>
      </c>
      <c r="L48" s="11" t="n">
        <v>218.66</v>
      </c>
      <c r="M48" s="12" t="n">
        <v>0.3121</v>
      </c>
    </row>
    <row r="49">
      <c r="A49" t="inlineStr">
        <is>
          <t>ORD-10022</t>
        </is>
      </c>
      <c r="B49" s="10" t="inlineStr">
        <is>
          <t>2024-01-14</t>
        </is>
      </c>
      <c r="C49" t="inlineStr">
        <is>
          <t>Customer 194</t>
        </is>
      </c>
      <c r="D49" t="inlineStr">
        <is>
          <t>South</t>
        </is>
      </c>
      <c r="E49" t="inlineStr">
        <is>
          <t>Technology</t>
        </is>
      </c>
      <c r="F49" t="inlineStr">
        <is>
          <t>Wireless Mouse</t>
        </is>
      </c>
      <c r="G49" t="inlineStr">
        <is>
          <t>Standard Class</t>
        </is>
      </c>
      <c r="H49" t="n">
        <v>10</v>
      </c>
      <c r="I49" s="11" t="n">
        <v>135.43</v>
      </c>
      <c r="J49" s="12" t="n">
        <v>0.15</v>
      </c>
      <c r="K49" s="11" t="n">
        <v>1151.16</v>
      </c>
      <c r="L49" s="11" t="n">
        <v>96.31</v>
      </c>
      <c r="M49" s="12" t="n">
        <v>0.0837</v>
      </c>
    </row>
    <row r="50">
      <c r="A50" t="inlineStr">
        <is>
          <t>ORD-10333</t>
        </is>
      </c>
      <c r="B50" s="10" t="inlineStr">
        <is>
          <t>2024-01-14</t>
        </is>
      </c>
      <c r="C50" t="inlineStr">
        <is>
          <t>Customer 121</t>
        </is>
      </c>
      <c r="D50" t="inlineStr">
        <is>
          <t>South</t>
        </is>
      </c>
      <c r="E50" t="inlineStr">
        <is>
          <t>Furniture</t>
        </is>
      </c>
      <c r="F50" t="inlineStr">
        <is>
          <t>Bookcase</t>
        </is>
      </c>
      <c r="G50" t="inlineStr">
        <is>
          <t>Second Class</t>
        </is>
      </c>
      <c r="H50" t="n">
        <v>5</v>
      </c>
      <c r="I50" s="11" t="n">
        <v>839.49</v>
      </c>
      <c r="J50" s="12" t="n">
        <v>0.3</v>
      </c>
      <c r="K50" s="11" t="n">
        <v>2938.21</v>
      </c>
      <c r="L50" s="11" t="n">
        <v>166.08</v>
      </c>
      <c r="M50" s="12" t="n">
        <v>0.0565</v>
      </c>
    </row>
    <row r="51">
      <c r="A51" t="inlineStr">
        <is>
          <t>ORD-10282</t>
        </is>
      </c>
      <c r="B51" s="10" t="inlineStr">
        <is>
          <t>2024-01-14</t>
        </is>
      </c>
      <c r="C51" t="inlineStr">
        <is>
          <t>Customer 70</t>
        </is>
      </c>
      <c r="D51" t="inlineStr">
        <is>
          <t>South</t>
        </is>
      </c>
      <c r="E51" t="inlineStr">
        <is>
          <t>Technology</t>
        </is>
      </c>
      <c r="F51" t="inlineStr">
        <is>
          <t>Printer</t>
        </is>
      </c>
      <c r="G51" t="inlineStr">
        <is>
          <t>Same Day</t>
        </is>
      </c>
      <c r="H51" t="n">
        <v>4</v>
      </c>
      <c r="I51" s="11" t="n">
        <v>529.8200000000001</v>
      </c>
      <c r="J51" s="12" t="n">
        <v>0</v>
      </c>
      <c r="K51" s="11" t="n">
        <v>2119.28</v>
      </c>
      <c r="L51" s="11" t="n">
        <v>606.87</v>
      </c>
      <c r="M51" s="12" t="n">
        <v>0.2864</v>
      </c>
    </row>
    <row r="52">
      <c r="A52" t="inlineStr">
        <is>
          <t>ORD-10749</t>
        </is>
      </c>
      <c r="B52" s="10" t="inlineStr">
        <is>
          <t>2024-01-15</t>
        </is>
      </c>
      <c r="C52" t="inlineStr">
        <is>
          <t>Customer 147</t>
        </is>
      </c>
      <c r="D52" t="inlineStr">
        <is>
          <t>North</t>
        </is>
      </c>
      <c r="E52" t="inlineStr">
        <is>
          <t>Technology</t>
        </is>
      </c>
      <c r="F52" t="inlineStr">
        <is>
          <t>Printer</t>
        </is>
      </c>
      <c r="G52" t="inlineStr">
        <is>
          <t>First Class</t>
        </is>
      </c>
      <c r="H52" t="n">
        <v>3</v>
      </c>
      <c r="I52" s="11" t="n">
        <v>286.61</v>
      </c>
      <c r="J52" s="12" t="n">
        <v>0</v>
      </c>
      <c r="K52" s="11" t="n">
        <v>859.83</v>
      </c>
      <c r="L52" s="11" t="n">
        <v>318.43</v>
      </c>
      <c r="M52" s="12" t="n">
        <v>0.3703</v>
      </c>
    </row>
    <row r="53">
      <c r="A53" t="inlineStr">
        <is>
          <t>ORD-11635</t>
        </is>
      </c>
      <c r="B53" s="10" t="inlineStr">
        <is>
          <t>2024-01-15</t>
        </is>
      </c>
      <c r="C53" t="inlineStr">
        <is>
          <t>Customer 122</t>
        </is>
      </c>
      <c r="D53" t="inlineStr">
        <is>
          <t>East</t>
        </is>
      </c>
      <c r="E53" t="inlineStr">
        <is>
          <t>Furniture</t>
        </is>
      </c>
      <c r="F53" t="inlineStr">
        <is>
          <t>Bookcase</t>
        </is>
      </c>
      <c r="G53" t="inlineStr">
        <is>
          <t>Standard Class</t>
        </is>
      </c>
      <c r="H53" t="n">
        <v>1</v>
      </c>
      <c r="I53" s="11" t="n">
        <v>207.51</v>
      </c>
      <c r="J53" s="12" t="n">
        <v>0.3</v>
      </c>
      <c r="K53" s="11" t="n">
        <v>145.26</v>
      </c>
      <c r="L53" s="11" t="n">
        <v>-31.02</v>
      </c>
      <c r="M53" s="12" t="n">
        <v>-0.2135</v>
      </c>
    </row>
    <row r="54">
      <c r="A54" t="inlineStr">
        <is>
          <t>ORD-10582</t>
        </is>
      </c>
      <c r="B54" s="10" t="inlineStr">
        <is>
          <t>2024-01-15</t>
        </is>
      </c>
      <c r="C54" t="inlineStr">
        <is>
          <t>Customer 68</t>
        </is>
      </c>
      <c r="D54" t="inlineStr">
        <is>
          <t>South</t>
        </is>
      </c>
      <c r="E54" t="inlineStr">
        <is>
          <t>Furniture</t>
        </is>
      </c>
      <c r="F54" t="inlineStr">
        <is>
          <t>Table Lamp</t>
        </is>
      </c>
      <c r="G54" t="inlineStr">
        <is>
          <t>First Class</t>
        </is>
      </c>
      <c r="H54" t="n">
        <v>2</v>
      </c>
      <c r="I54" s="11" t="n">
        <v>505.21</v>
      </c>
      <c r="J54" s="12" t="n">
        <v>0.1</v>
      </c>
      <c r="K54" s="11" t="n">
        <v>909.38</v>
      </c>
      <c r="L54" s="11" t="n">
        <v>80.72</v>
      </c>
      <c r="M54" s="12" t="n">
        <v>0.0888</v>
      </c>
    </row>
    <row r="55">
      <c r="A55" t="inlineStr">
        <is>
          <t>ORD-11290</t>
        </is>
      </c>
      <c r="B55" s="10" t="inlineStr">
        <is>
          <t>2024-01-15</t>
        </is>
      </c>
      <c r="C55" t="inlineStr">
        <is>
          <t>Customer 147</t>
        </is>
      </c>
      <c r="D55" t="inlineStr">
        <is>
          <t>North</t>
        </is>
      </c>
      <c r="E55" t="inlineStr">
        <is>
          <t>Office Supplies</t>
        </is>
      </c>
      <c r="F55" t="inlineStr">
        <is>
          <t>Pens (Box)</t>
        </is>
      </c>
      <c r="G55" t="inlineStr">
        <is>
          <t>Same Day</t>
        </is>
      </c>
      <c r="H55" t="n">
        <v>2</v>
      </c>
      <c r="I55" s="11" t="n">
        <v>213.23</v>
      </c>
      <c r="J55" s="12" t="n">
        <v>0.15</v>
      </c>
      <c r="K55" s="11" t="n">
        <v>362.49</v>
      </c>
      <c r="L55" s="11" t="n">
        <v>67.06999999999999</v>
      </c>
      <c r="M55" s="12" t="n">
        <v>0.185</v>
      </c>
    </row>
    <row r="56">
      <c r="A56" t="inlineStr">
        <is>
          <t>ORD-10146</t>
        </is>
      </c>
      <c r="B56" s="10" t="inlineStr">
        <is>
          <t>2024-01-15</t>
        </is>
      </c>
      <c r="C56" t="inlineStr">
        <is>
          <t>Customer 44</t>
        </is>
      </c>
      <c r="D56" t="inlineStr">
        <is>
          <t>South</t>
        </is>
      </c>
      <c r="E56" t="inlineStr">
        <is>
          <t>Office Supplies</t>
        </is>
      </c>
      <c r="F56" t="inlineStr">
        <is>
          <t>Stapler</t>
        </is>
      </c>
      <c r="G56" t="inlineStr">
        <is>
          <t>Same Day</t>
        </is>
      </c>
      <c r="H56" t="n">
        <v>4</v>
      </c>
      <c r="I56" s="11" t="n">
        <v>395.22</v>
      </c>
      <c r="J56" s="12" t="n">
        <v>0</v>
      </c>
      <c r="K56" s="11" t="n">
        <v>1580.88</v>
      </c>
      <c r="L56" s="11" t="n">
        <v>359.88</v>
      </c>
      <c r="M56" s="12" t="n">
        <v>0.2276</v>
      </c>
    </row>
    <row r="57">
      <c r="A57" t="inlineStr">
        <is>
          <t>ORD-10582</t>
        </is>
      </c>
      <c r="B57" s="10" t="inlineStr">
        <is>
          <t>2024-01-15</t>
        </is>
      </c>
      <c r="C57" t="inlineStr">
        <is>
          <t>Customer 68</t>
        </is>
      </c>
      <c r="D57" t="inlineStr">
        <is>
          <t>South</t>
        </is>
      </c>
      <c r="E57" t="inlineStr">
        <is>
          <t>Furniture</t>
        </is>
      </c>
      <c r="F57" t="inlineStr">
        <is>
          <t>Table Lamp</t>
        </is>
      </c>
      <c r="G57" t="inlineStr">
        <is>
          <t>First Class</t>
        </is>
      </c>
      <c r="H57" t="n">
        <v>2</v>
      </c>
      <c r="I57" s="11" t="n">
        <v>505.21</v>
      </c>
      <c r="J57" s="12" t="n">
        <v>0.1</v>
      </c>
      <c r="K57" s="11" t="n">
        <v>909.38</v>
      </c>
      <c r="L57" s="11" t="n">
        <v>80.72</v>
      </c>
      <c r="M57" s="12" t="n">
        <v>0.0888</v>
      </c>
    </row>
    <row r="58">
      <c r="A58" t="inlineStr">
        <is>
          <t>ORD-11087</t>
        </is>
      </c>
      <c r="B58" s="10" t="inlineStr">
        <is>
          <t>2024-01-16</t>
        </is>
      </c>
      <c r="C58" t="inlineStr">
        <is>
          <t>Customer 46</t>
        </is>
      </c>
      <c r="D58" t="inlineStr">
        <is>
          <t>West</t>
        </is>
      </c>
      <c r="E58" t="inlineStr">
        <is>
          <t>Furniture</t>
        </is>
      </c>
      <c r="F58" t="inlineStr">
        <is>
          <t>Table Lamp</t>
        </is>
      </c>
      <c r="G58" t="inlineStr">
        <is>
          <t>Standard Class</t>
        </is>
      </c>
      <c r="H58" t="n">
        <v>7</v>
      </c>
      <c r="I58" s="11" t="n">
        <v>541.91</v>
      </c>
      <c r="J58" s="12" t="n">
        <v>0</v>
      </c>
      <c r="K58" s="11" t="n">
        <v>3793.37</v>
      </c>
      <c r="L58" s="11" t="n">
        <v>837.14</v>
      </c>
      <c r="M58" s="12" t="n">
        <v>0.2207</v>
      </c>
    </row>
    <row r="59">
      <c r="A59" t="inlineStr">
        <is>
          <t>ORD-10401</t>
        </is>
      </c>
      <c r="B59" s="10" t="inlineStr">
        <is>
          <t>2024-01-16</t>
        </is>
      </c>
      <c r="C59" t="inlineStr">
        <is>
          <t>Customer 185</t>
        </is>
      </c>
      <c r="D59" t="inlineStr">
        <is>
          <t>South</t>
        </is>
      </c>
      <c r="E59" t="inlineStr">
        <is>
          <t>Office Supplies</t>
        </is>
      </c>
      <c r="F59" t="inlineStr">
        <is>
          <t>Stapler</t>
        </is>
      </c>
      <c r="G59" t="inlineStr">
        <is>
          <t>First Class</t>
        </is>
      </c>
      <c r="H59" t="n">
        <v>6</v>
      </c>
      <c r="I59" s="11" t="n">
        <v>468.5</v>
      </c>
      <c r="J59" s="12" t="n">
        <v>0.15</v>
      </c>
      <c r="K59" s="11" t="n">
        <v>2389.35</v>
      </c>
      <c r="L59" s="11" t="n">
        <v>285.75</v>
      </c>
      <c r="M59" s="12" t="n">
        <v>0.1196</v>
      </c>
    </row>
    <row r="60">
      <c r="A60" t="inlineStr">
        <is>
          <t>ORD-11153</t>
        </is>
      </c>
      <c r="B60" s="10" t="inlineStr">
        <is>
          <t>2024-01-16</t>
        </is>
      </c>
      <c r="C60" t="inlineStr">
        <is>
          <t>Customer 29</t>
        </is>
      </c>
      <c r="D60" t="inlineStr">
        <is>
          <t>East</t>
        </is>
      </c>
      <c r="E60" t="inlineStr">
        <is>
          <t>Technology</t>
        </is>
      </c>
      <c r="F60" t="inlineStr">
        <is>
          <t>Monitor</t>
        </is>
      </c>
      <c r="G60" t="inlineStr">
        <is>
          <t>Standard Class</t>
        </is>
      </c>
      <c r="H60" t="n">
        <v>5</v>
      </c>
      <c r="I60" s="11" t="n">
        <v>448.5</v>
      </c>
      <c r="J60" s="12" t="n">
        <v>0.2</v>
      </c>
      <c r="K60" s="11" t="n">
        <v>1794</v>
      </c>
      <c r="L60" s="11" t="n">
        <v>28.22</v>
      </c>
      <c r="M60" s="12" t="n">
        <v>0.0157</v>
      </c>
    </row>
    <row r="61">
      <c r="A61" t="inlineStr">
        <is>
          <t>ORD-10515</t>
        </is>
      </c>
      <c r="B61" s="10" t="inlineStr">
        <is>
          <t>2024-01-16</t>
        </is>
      </c>
      <c r="C61" t="inlineStr">
        <is>
          <t>Customer 185</t>
        </is>
      </c>
      <c r="D61" t="inlineStr">
        <is>
          <t>South</t>
        </is>
      </c>
      <c r="E61" t="inlineStr">
        <is>
          <t>Furniture</t>
        </is>
      </c>
      <c r="F61" t="inlineStr">
        <is>
          <t>Chair</t>
        </is>
      </c>
      <c r="G61" t="inlineStr">
        <is>
          <t>First Class</t>
        </is>
      </c>
      <c r="H61" t="n">
        <v>1</v>
      </c>
      <c r="I61" s="11" t="n">
        <v>440.41</v>
      </c>
      <c r="J61" s="12" t="n">
        <v>0.15</v>
      </c>
      <c r="K61" s="11" t="n">
        <v>374.35</v>
      </c>
      <c r="L61" s="11" t="n">
        <v>102.25</v>
      </c>
      <c r="M61" s="12" t="n">
        <v>0.2731</v>
      </c>
    </row>
    <row r="62">
      <c r="A62" t="inlineStr">
        <is>
          <t>ORD-10945</t>
        </is>
      </c>
      <c r="B62" s="10" t="inlineStr">
        <is>
          <t>2024-01-17</t>
        </is>
      </c>
      <c r="C62" t="inlineStr">
        <is>
          <t>Customer 143</t>
        </is>
      </c>
      <c r="D62" t="inlineStr">
        <is>
          <t>South</t>
        </is>
      </c>
      <c r="E62" t="inlineStr">
        <is>
          <t>Technology</t>
        </is>
      </c>
      <c r="F62" t="inlineStr">
        <is>
          <t>Wireless Mouse</t>
        </is>
      </c>
      <c r="G62" t="inlineStr">
        <is>
          <t>Second Class</t>
        </is>
      </c>
      <c r="H62" t="n">
        <v>8</v>
      </c>
      <c r="I62" s="11" t="n">
        <v>1006.61</v>
      </c>
      <c r="J62" s="12" t="n">
        <v>0</v>
      </c>
      <c r="K62" s="11" t="n">
        <v>8052.88</v>
      </c>
      <c r="L62" s="11" t="n">
        <v>2222.39</v>
      </c>
      <c r="M62" s="12" t="n">
        <v>0.276</v>
      </c>
    </row>
    <row r="63">
      <c r="A63" t="inlineStr">
        <is>
          <t>ORD-11662</t>
        </is>
      </c>
      <c r="B63" s="10" t="inlineStr">
        <is>
          <t>2024-01-17</t>
        </is>
      </c>
      <c r="C63" t="inlineStr">
        <is>
          <t>Customer 148</t>
        </is>
      </c>
      <c r="D63" t="inlineStr">
        <is>
          <t>North</t>
        </is>
      </c>
      <c r="E63" t="inlineStr">
        <is>
          <t>Furniture</t>
        </is>
      </c>
      <c r="F63" t="inlineStr">
        <is>
          <t>Table Lamp</t>
        </is>
      </c>
      <c r="G63" t="inlineStr">
        <is>
          <t>Second Class</t>
        </is>
      </c>
      <c r="H63" t="n">
        <v>5</v>
      </c>
      <c r="I63" s="11" t="n">
        <v>129.42</v>
      </c>
      <c r="J63" s="12" t="n">
        <v>0</v>
      </c>
      <c r="K63" s="11" t="n">
        <v>647.1</v>
      </c>
      <c r="L63" s="11" t="n">
        <v>252.79</v>
      </c>
      <c r="M63" s="12" t="n">
        <v>0.3907</v>
      </c>
    </row>
    <row r="64">
      <c r="A64" t="inlineStr">
        <is>
          <t>ORD-10923</t>
        </is>
      </c>
      <c r="B64" s="10" t="inlineStr">
        <is>
          <t>2024-01-17</t>
        </is>
      </c>
      <c r="C64" t="inlineStr">
        <is>
          <t>Customer 106</t>
        </is>
      </c>
      <c r="D64" t="inlineStr">
        <is>
          <t>West</t>
        </is>
      </c>
      <c r="E64" t="inlineStr">
        <is>
          <t>Technology</t>
        </is>
      </c>
      <c r="F64" t="inlineStr">
        <is>
          <t>Laptop</t>
        </is>
      </c>
      <c r="G64" t="inlineStr">
        <is>
          <t>Second Class</t>
        </is>
      </c>
      <c r="H64" t="n">
        <v>11</v>
      </c>
      <c r="I64" s="11" t="n">
        <v>452.59</v>
      </c>
      <c r="J64" s="12" t="n">
        <v>0</v>
      </c>
      <c r="K64" s="11" t="n">
        <v>4978.49</v>
      </c>
      <c r="L64" s="11" t="n">
        <v>1552.6</v>
      </c>
      <c r="M64" s="12" t="n">
        <v>0.3119</v>
      </c>
    </row>
    <row r="65">
      <c r="A65" t="inlineStr">
        <is>
          <t>ORD-10250</t>
        </is>
      </c>
      <c r="B65" s="10" t="inlineStr">
        <is>
          <t>2024-01-18</t>
        </is>
      </c>
      <c r="C65" t="inlineStr">
        <is>
          <t>Customer 100</t>
        </is>
      </c>
      <c r="D65" t="inlineStr">
        <is>
          <t>North</t>
        </is>
      </c>
      <c r="E65" t="inlineStr">
        <is>
          <t>Office Supplies</t>
        </is>
      </c>
      <c r="F65" t="inlineStr">
        <is>
          <t>Pens (Box)</t>
        </is>
      </c>
      <c r="G65" t="inlineStr">
        <is>
          <t>Second Class</t>
        </is>
      </c>
      <c r="H65" t="n">
        <v>11</v>
      </c>
      <c r="I65" s="11" t="n">
        <v>268.09</v>
      </c>
      <c r="J65" s="12" t="n">
        <v>0.1</v>
      </c>
      <c r="K65" s="11" t="n">
        <v>2654.09</v>
      </c>
      <c r="L65" s="11" t="n">
        <v>597.96</v>
      </c>
      <c r="M65" s="12" t="n">
        <v>0.2253</v>
      </c>
    </row>
    <row r="66">
      <c r="A66" t="inlineStr">
        <is>
          <t>ORD-11352</t>
        </is>
      </c>
      <c r="B66" s="10" t="inlineStr">
        <is>
          <t>2024-01-19</t>
        </is>
      </c>
      <c r="C66" t="inlineStr">
        <is>
          <t>Customer 199</t>
        </is>
      </c>
      <c r="D66" t="inlineStr">
        <is>
          <t>South</t>
        </is>
      </c>
      <c r="E66" t="inlineStr">
        <is>
          <t>Office Supplies</t>
        </is>
      </c>
      <c r="F66" t="inlineStr">
        <is>
          <t>Stapler</t>
        </is>
      </c>
      <c r="G66" t="inlineStr">
        <is>
          <t>First Class</t>
        </is>
      </c>
      <c r="H66" t="n">
        <v>2</v>
      </c>
      <c r="I66" s="11" t="n">
        <v>602.14</v>
      </c>
      <c r="J66" s="12" t="n">
        <v>0</v>
      </c>
      <c r="K66" s="11" t="n">
        <v>1204.28</v>
      </c>
      <c r="L66" s="11" t="n">
        <v>582</v>
      </c>
      <c r="M66" s="12" t="n">
        <v>0.4833</v>
      </c>
    </row>
    <row r="67">
      <c r="A67" t="inlineStr">
        <is>
          <t>ORD-11994</t>
        </is>
      </c>
      <c r="B67" s="10" t="inlineStr">
        <is>
          <t>2024-01-19</t>
        </is>
      </c>
      <c r="C67" t="inlineStr">
        <is>
          <t>Customer 160</t>
        </is>
      </c>
      <c r="D67" t="inlineStr">
        <is>
          <t>West</t>
        </is>
      </c>
      <c r="E67" t="inlineStr">
        <is>
          <t>Technology</t>
        </is>
      </c>
      <c r="F67" t="inlineStr">
        <is>
          <t>Laptop</t>
        </is>
      </c>
      <c r="G67" t="inlineStr">
        <is>
          <t>Second Class</t>
        </is>
      </c>
      <c r="H67" t="n">
        <v>9</v>
      </c>
      <c r="I67" s="11" t="n">
        <v>681.67</v>
      </c>
      <c r="J67" s="12" t="n">
        <v>0</v>
      </c>
      <c r="K67" s="11" t="n">
        <v>6135.03</v>
      </c>
      <c r="L67" s="11" t="n">
        <v>1883.11</v>
      </c>
      <c r="M67" s="12" t="n">
        <v>0.3069</v>
      </c>
    </row>
    <row r="68">
      <c r="A68" t="inlineStr">
        <is>
          <t>ORD-10076</t>
        </is>
      </c>
      <c r="B68" s="10" t="inlineStr">
        <is>
          <t>2024-01-19</t>
        </is>
      </c>
      <c r="C68" t="inlineStr">
        <is>
          <t>Customer 96</t>
        </is>
      </c>
      <c r="D68" t="inlineStr">
        <is>
          <t>South</t>
        </is>
      </c>
      <c r="E68" t="inlineStr">
        <is>
          <t>Furniture</t>
        </is>
      </c>
      <c r="F68" t="inlineStr">
        <is>
          <t>Chair</t>
        </is>
      </c>
      <c r="G68" t="inlineStr">
        <is>
          <t>First Class</t>
        </is>
      </c>
      <c r="H68" t="n">
        <v>3</v>
      </c>
      <c r="I68" s="11" t="n">
        <v>1113.32</v>
      </c>
      <c r="J68" s="12" t="n">
        <v>0</v>
      </c>
      <c r="K68" s="11" t="n">
        <v>3339.96</v>
      </c>
      <c r="L68" s="11" t="n">
        <v>1310.48</v>
      </c>
      <c r="M68" s="12" t="n">
        <v>0.3924</v>
      </c>
    </row>
    <row r="69">
      <c r="A69" t="inlineStr">
        <is>
          <t>ORD-11008</t>
        </is>
      </c>
      <c r="B69" s="10" t="inlineStr">
        <is>
          <t>2024-01-19</t>
        </is>
      </c>
      <c r="C69" t="inlineStr">
        <is>
          <t>Customer 61</t>
        </is>
      </c>
      <c r="D69" t="inlineStr">
        <is>
          <t>West</t>
        </is>
      </c>
      <c r="E69" t="inlineStr">
        <is>
          <t>Furniture</t>
        </is>
      </c>
      <c r="F69" t="inlineStr">
        <is>
          <t>Chair</t>
        </is>
      </c>
      <c r="G69" t="inlineStr">
        <is>
          <t>Same Day</t>
        </is>
      </c>
      <c r="H69" t="n">
        <v>4</v>
      </c>
      <c r="I69" s="11" t="n">
        <v>1100.38</v>
      </c>
      <c r="J69" s="12" t="n">
        <v>0</v>
      </c>
      <c r="K69" s="11" t="n">
        <v>4401.52</v>
      </c>
      <c r="L69" s="11" t="n">
        <v>1182.99</v>
      </c>
      <c r="M69" s="12" t="n">
        <v>0.2688</v>
      </c>
    </row>
    <row r="70">
      <c r="A70" t="inlineStr">
        <is>
          <t>ORD-11797</t>
        </is>
      </c>
      <c r="B70" s="10" t="inlineStr">
        <is>
          <t>2024-01-20</t>
        </is>
      </c>
      <c r="C70" t="inlineStr">
        <is>
          <t>Customer 153</t>
        </is>
      </c>
      <c r="D70" t="inlineStr">
        <is>
          <t>West</t>
        </is>
      </c>
      <c r="E70" t="inlineStr">
        <is>
          <t>Furniture</t>
        </is>
      </c>
      <c r="F70" t="inlineStr">
        <is>
          <t>Bookcase</t>
        </is>
      </c>
      <c r="G70" t="inlineStr">
        <is>
          <t>Same Day</t>
        </is>
      </c>
      <c r="H70" t="n">
        <v>1</v>
      </c>
      <c r="I70" s="11" t="n">
        <v>6.88</v>
      </c>
      <c r="J70" s="12" t="n">
        <v>0</v>
      </c>
      <c r="K70" s="11" t="n">
        <v>6.88</v>
      </c>
      <c r="L70" s="11" t="n">
        <v>2.57</v>
      </c>
      <c r="M70" s="12" t="n">
        <v>0.3735</v>
      </c>
    </row>
    <row r="71">
      <c r="A71" t="inlineStr">
        <is>
          <t>ORD-10498</t>
        </is>
      </c>
      <c r="B71" s="10" t="inlineStr">
        <is>
          <t>2024-01-20</t>
        </is>
      </c>
      <c r="C71" t="inlineStr">
        <is>
          <t>Customer 44</t>
        </is>
      </c>
      <c r="D71" t="inlineStr">
        <is>
          <t>South</t>
        </is>
      </c>
      <c r="E71" t="inlineStr">
        <is>
          <t>Technology</t>
        </is>
      </c>
      <c r="F71" t="inlineStr">
        <is>
          <t>Monitor</t>
        </is>
      </c>
      <c r="G71" t="inlineStr">
        <is>
          <t>First Class</t>
        </is>
      </c>
      <c r="H71" t="n">
        <v>8</v>
      </c>
      <c r="I71" s="11" t="n">
        <v>295</v>
      </c>
      <c r="J71" s="12" t="n">
        <v>0</v>
      </c>
      <c r="K71" s="11" t="n">
        <v>2360</v>
      </c>
      <c r="L71" s="11" t="n">
        <v>889.79</v>
      </c>
      <c r="M71" s="12" t="n">
        <v>0.377</v>
      </c>
    </row>
    <row r="72">
      <c r="A72" t="inlineStr">
        <is>
          <t>ORD-11383</t>
        </is>
      </c>
      <c r="B72" s="10" t="inlineStr">
        <is>
          <t>2024-01-20</t>
        </is>
      </c>
      <c r="C72" t="inlineStr">
        <is>
          <t>Customer 189</t>
        </is>
      </c>
      <c r="D72" t="inlineStr">
        <is>
          <t>North</t>
        </is>
      </c>
      <c r="E72" t="inlineStr">
        <is>
          <t>Furniture</t>
        </is>
      </c>
      <c r="F72" t="inlineStr">
        <is>
          <t>Table Lamp</t>
        </is>
      </c>
      <c r="G72" t="inlineStr">
        <is>
          <t>First Class</t>
        </is>
      </c>
      <c r="H72" t="n">
        <v>1</v>
      </c>
      <c r="I72" s="11" t="n">
        <v>116.23</v>
      </c>
      <c r="J72" s="12" t="n">
        <v>0</v>
      </c>
      <c r="K72" s="11" t="n">
        <v>116.23</v>
      </c>
      <c r="L72" s="11" t="n">
        <v>24.76</v>
      </c>
      <c r="M72" s="12" t="n">
        <v>0.213</v>
      </c>
    </row>
    <row r="73">
      <c r="A73" t="inlineStr">
        <is>
          <t>ORD-10188</t>
        </is>
      </c>
      <c r="B73" s="10" t="inlineStr">
        <is>
          <t>2024-01-20</t>
        </is>
      </c>
      <c r="C73" t="inlineStr">
        <is>
          <t>Customer 78</t>
        </is>
      </c>
      <c r="D73" t="inlineStr">
        <is>
          <t>North</t>
        </is>
      </c>
      <c r="E73" t="inlineStr">
        <is>
          <t>Office Supplies</t>
        </is>
      </c>
      <c r="F73" t="inlineStr">
        <is>
          <t>Stapler</t>
        </is>
      </c>
      <c r="G73" t="inlineStr">
        <is>
          <t>Second Class</t>
        </is>
      </c>
      <c r="H73" t="n">
        <v>1</v>
      </c>
      <c r="I73" s="11" t="n">
        <v>893.4299999999999</v>
      </c>
      <c r="J73" s="12" t="n">
        <v>0.15</v>
      </c>
      <c r="K73" s="11" t="n">
        <v>759.42</v>
      </c>
      <c r="L73" s="11" t="n">
        <v>157.48</v>
      </c>
      <c r="M73" s="12" t="n">
        <v>0.2074</v>
      </c>
    </row>
    <row r="74">
      <c r="A74" t="inlineStr">
        <is>
          <t>ORD-11638</t>
        </is>
      </c>
      <c r="B74" s="10" t="inlineStr">
        <is>
          <t>2024-01-21</t>
        </is>
      </c>
      <c r="C74" t="inlineStr">
        <is>
          <t>Customer 11</t>
        </is>
      </c>
      <c r="D74" t="inlineStr">
        <is>
          <t>East</t>
        </is>
      </c>
      <c r="E74" t="inlineStr">
        <is>
          <t>Office Supplies</t>
        </is>
      </c>
      <c r="F74" t="inlineStr">
        <is>
          <t>Pens (Box)</t>
        </is>
      </c>
      <c r="G74" t="inlineStr">
        <is>
          <t>Second Class</t>
        </is>
      </c>
      <c r="H74" t="n">
        <v>7</v>
      </c>
      <c r="I74" s="11" t="n">
        <v>983.17</v>
      </c>
      <c r="J74" s="12" t="n">
        <v>0.1</v>
      </c>
      <c r="K74" s="11" t="n">
        <v>6193.97</v>
      </c>
      <c r="L74" s="11" t="n">
        <v>1508.76</v>
      </c>
      <c r="M74" s="12" t="n">
        <v>0.2436</v>
      </c>
    </row>
    <row r="75">
      <c r="A75" t="inlineStr">
        <is>
          <t>ORD-11265</t>
        </is>
      </c>
      <c r="B75" s="10" t="inlineStr">
        <is>
          <t>2024-01-22</t>
        </is>
      </c>
      <c r="C75" t="inlineStr">
        <is>
          <t>Customer 163</t>
        </is>
      </c>
      <c r="D75" t="inlineStr">
        <is>
          <t>South</t>
        </is>
      </c>
      <c r="E75" t="inlineStr">
        <is>
          <t>Office Supplies</t>
        </is>
      </c>
      <c r="F75" t="inlineStr">
        <is>
          <t>Paper</t>
        </is>
      </c>
      <c r="G75" t="inlineStr">
        <is>
          <t>Standard Class</t>
        </is>
      </c>
      <c r="H75" t="n">
        <v>6</v>
      </c>
      <c r="I75" s="11" t="n">
        <v>598.415</v>
      </c>
      <c r="J75" s="12" t="n">
        <v>0</v>
      </c>
      <c r="K75" s="11" t="n">
        <v>3704.7</v>
      </c>
      <c r="L75" s="11" t="n">
        <v>658.67</v>
      </c>
      <c r="M75" s="12" t="n">
        <v>0.1778</v>
      </c>
    </row>
    <row r="76">
      <c r="A76" t="inlineStr">
        <is>
          <t>ORD-11469</t>
        </is>
      </c>
      <c r="B76" s="10" t="inlineStr">
        <is>
          <t>2024-01-22</t>
        </is>
      </c>
      <c r="C76" t="inlineStr">
        <is>
          <t>Customer 25</t>
        </is>
      </c>
      <c r="D76" t="inlineStr">
        <is>
          <t>South</t>
        </is>
      </c>
      <c r="E76" t="inlineStr">
        <is>
          <t>Office Supplies</t>
        </is>
      </c>
      <c r="F76" t="inlineStr">
        <is>
          <t>Pens (Box)</t>
        </is>
      </c>
      <c r="G76" t="inlineStr">
        <is>
          <t>Standard Class</t>
        </is>
      </c>
      <c r="H76" t="n">
        <v>6</v>
      </c>
      <c r="I76" s="11" t="n">
        <v>598.415</v>
      </c>
      <c r="J76" s="12" t="n">
        <v>0</v>
      </c>
      <c r="K76" s="11" t="n">
        <v>2073.74</v>
      </c>
      <c r="L76" s="11" t="n">
        <v>658.67</v>
      </c>
      <c r="M76" s="12" t="n">
        <v>0.3176</v>
      </c>
    </row>
    <row r="77">
      <c r="A77" t="inlineStr">
        <is>
          <t>ORD-11985</t>
        </is>
      </c>
      <c r="B77" s="10" t="inlineStr">
        <is>
          <t>2024-01-22</t>
        </is>
      </c>
      <c r="C77" t="inlineStr">
        <is>
          <t>Customer 66</t>
        </is>
      </c>
      <c r="D77" t="inlineStr">
        <is>
          <t>South</t>
        </is>
      </c>
      <c r="E77" t="inlineStr">
        <is>
          <t>Office Supplies</t>
        </is>
      </c>
      <c r="F77" t="inlineStr">
        <is>
          <t>Paper</t>
        </is>
      </c>
      <c r="G77" t="inlineStr">
        <is>
          <t>Same Day</t>
        </is>
      </c>
      <c r="H77" t="n">
        <v>4</v>
      </c>
      <c r="I77" s="11" t="n">
        <v>1008.46</v>
      </c>
      <c r="J77" s="12" t="n">
        <v>0</v>
      </c>
      <c r="K77" s="11" t="n">
        <v>4033.84</v>
      </c>
      <c r="L77" s="11" t="n">
        <v>1472.48</v>
      </c>
      <c r="M77" s="12" t="n">
        <v>0.365</v>
      </c>
    </row>
    <row r="78">
      <c r="A78" t="inlineStr">
        <is>
          <t>ORD-10684</t>
        </is>
      </c>
      <c r="B78" s="10" t="inlineStr">
        <is>
          <t>2024-01-22</t>
        </is>
      </c>
      <c r="C78" t="inlineStr">
        <is>
          <t>Customer 182</t>
        </is>
      </c>
      <c r="D78" t="inlineStr">
        <is>
          <t>North</t>
        </is>
      </c>
      <c r="E78" t="inlineStr">
        <is>
          <t>Office Supplies</t>
        </is>
      </c>
      <c r="F78" t="inlineStr">
        <is>
          <t>Paper</t>
        </is>
      </c>
      <c r="G78" t="inlineStr">
        <is>
          <t>Second Class</t>
        </is>
      </c>
      <c r="H78" t="n">
        <v>3</v>
      </c>
      <c r="I78" s="11" t="n">
        <v>1187.64</v>
      </c>
      <c r="J78" s="12" t="n">
        <v>0</v>
      </c>
      <c r="K78" s="11" t="n">
        <v>3562.92</v>
      </c>
      <c r="L78" s="11" t="n">
        <v>1338.12</v>
      </c>
      <c r="M78" s="12" t="n">
        <v>0.3756</v>
      </c>
    </row>
    <row r="79">
      <c r="A79" t="inlineStr">
        <is>
          <t>ORD-10681</t>
        </is>
      </c>
      <c r="B79" s="10" t="inlineStr">
        <is>
          <t>2024-01-23</t>
        </is>
      </c>
      <c r="C79" t="inlineStr">
        <is>
          <t>Customer 120</t>
        </is>
      </c>
      <c r="D79" t="inlineStr">
        <is>
          <t>North</t>
        </is>
      </c>
      <c r="E79" t="inlineStr">
        <is>
          <t>Furniture</t>
        </is>
      </c>
      <c r="F79" t="inlineStr">
        <is>
          <t>Bookcase</t>
        </is>
      </c>
      <c r="G79" t="inlineStr">
        <is>
          <t>Standard Class</t>
        </is>
      </c>
      <c r="H79" t="n">
        <v>5</v>
      </c>
      <c r="I79" s="11" t="n">
        <v>929.1900000000001</v>
      </c>
      <c r="J79" s="12" t="n">
        <v>0.15</v>
      </c>
      <c r="K79" s="11" t="n">
        <v>3949.06</v>
      </c>
      <c r="L79" s="11" t="n">
        <v>433.61</v>
      </c>
      <c r="M79" s="12" t="n">
        <v>0.1098</v>
      </c>
    </row>
    <row r="80">
      <c r="A80" t="inlineStr">
        <is>
          <t>ORD-11382</t>
        </is>
      </c>
      <c r="B80" s="10" t="inlineStr">
        <is>
          <t>2024-01-23</t>
        </is>
      </c>
      <c r="C80" t="inlineStr">
        <is>
          <t>Customer 194</t>
        </is>
      </c>
      <c r="D80" t="inlineStr">
        <is>
          <t>South</t>
        </is>
      </c>
      <c r="E80" t="inlineStr">
        <is>
          <t>Technology</t>
        </is>
      </c>
      <c r="F80" t="inlineStr">
        <is>
          <t>Printer</t>
        </is>
      </c>
      <c r="G80" t="inlineStr">
        <is>
          <t>Standard Class</t>
        </is>
      </c>
      <c r="H80" t="n">
        <v>9</v>
      </c>
      <c r="I80" s="11" t="n">
        <v>406.04</v>
      </c>
      <c r="J80" s="12" t="n">
        <v>0</v>
      </c>
      <c r="K80" s="11" t="n">
        <v>3654.36</v>
      </c>
      <c r="L80" s="11" t="n">
        <v>1365.94</v>
      </c>
      <c r="M80" s="12" t="n">
        <v>0.3738</v>
      </c>
    </row>
    <row r="81">
      <c r="A81" t="inlineStr">
        <is>
          <t>ORD-11322</t>
        </is>
      </c>
      <c r="B81" s="10" t="inlineStr">
        <is>
          <t>2024-01-24</t>
        </is>
      </c>
      <c r="C81" t="inlineStr">
        <is>
          <t>Customer 90</t>
        </is>
      </c>
      <c r="D81" t="inlineStr">
        <is>
          <t>West</t>
        </is>
      </c>
      <c r="E81" t="inlineStr">
        <is>
          <t>Office Supplies</t>
        </is>
      </c>
      <c r="F81" t="inlineStr">
        <is>
          <t>Binder</t>
        </is>
      </c>
      <c r="G81" t="inlineStr">
        <is>
          <t>Standard Class</t>
        </is>
      </c>
      <c r="H81" t="n">
        <v>2</v>
      </c>
      <c r="I81" s="11" t="n">
        <v>991.13</v>
      </c>
      <c r="J81" s="12" t="n">
        <v>0</v>
      </c>
      <c r="K81" s="11" t="n">
        <v>1982.26</v>
      </c>
      <c r="L81" s="11" t="n">
        <v>764.51</v>
      </c>
      <c r="M81" s="12" t="n">
        <v>0.3857</v>
      </c>
    </row>
    <row r="82">
      <c r="A82" t="inlineStr">
        <is>
          <t>ORD-10177</t>
        </is>
      </c>
      <c r="B82" s="10" t="inlineStr">
        <is>
          <t>2024-01-24</t>
        </is>
      </c>
      <c r="C82" t="inlineStr">
        <is>
          <t>Customer 64</t>
        </is>
      </c>
      <c r="D82" t="inlineStr">
        <is>
          <t>West</t>
        </is>
      </c>
      <c r="E82" t="inlineStr">
        <is>
          <t>Technology</t>
        </is>
      </c>
      <c r="F82" t="inlineStr">
        <is>
          <t>Monitor</t>
        </is>
      </c>
      <c r="G82" t="inlineStr">
        <is>
          <t>First Class</t>
        </is>
      </c>
      <c r="H82" t="n">
        <v>3</v>
      </c>
      <c r="I82" s="11" t="n">
        <v>734.53</v>
      </c>
      <c r="J82" s="12" t="n">
        <v>0</v>
      </c>
      <c r="K82" s="11" t="n">
        <v>2203.59</v>
      </c>
      <c r="L82" s="11" t="n">
        <v>416.64</v>
      </c>
      <c r="M82" s="12" t="n">
        <v>0.1891</v>
      </c>
    </row>
    <row r="83">
      <c r="A83" t="inlineStr">
        <is>
          <t>ORD-11993</t>
        </is>
      </c>
      <c r="B83" s="10" t="inlineStr">
        <is>
          <t>2024-01-24</t>
        </is>
      </c>
      <c r="C83" t="inlineStr">
        <is>
          <t>Customer 54</t>
        </is>
      </c>
      <c r="D83" t="inlineStr">
        <is>
          <t>South</t>
        </is>
      </c>
      <c r="E83" t="inlineStr">
        <is>
          <t>Office Supplies</t>
        </is>
      </c>
      <c r="F83" t="inlineStr">
        <is>
          <t>Binder</t>
        </is>
      </c>
      <c r="G83" t="inlineStr">
        <is>
          <t>First Class</t>
        </is>
      </c>
      <c r="H83" t="n">
        <v>1</v>
      </c>
      <c r="I83" s="11" t="n">
        <v>183.72</v>
      </c>
      <c r="J83" s="12" t="n">
        <v>0.15</v>
      </c>
      <c r="K83" s="11" t="n">
        <v>156.16</v>
      </c>
      <c r="L83" s="11" t="n">
        <v>54.97</v>
      </c>
      <c r="M83" s="12" t="n">
        <v>0.352</v>
      </c>
    </row>
    <row r="84">
      <c r="A84" t="inlineStr">
        <is>
          <t>ORD-11851</t>
        </is>
      </c>
      <c r="B84" s="10" t="inlineStr">
        <is>
          <t>2024-01-24</t>
        </is>
      </c>
      <c r="C84" t="inlineStr">
        <is>
          <t>Customer 169</t>
        </is>
      </c>
      <c r="D84" t="inlineStr">
        <is>
          <t>South</t>
        </is>
      </c>
      <c r="E84" t="inlineStr">
        <is>
          <t>Office Supplies</t>
        </is>
      </c>
      <c r="F84" t="inlineStr">
        <is>
          <t>Pens (Box)</t>
        </is>
      </c>
      <c r="G84" t="inlineStr">
        <is>
          <t>Standard Class</t>
        </is>
      </c>
      <c r="H84" t="n">
        <v>4</v>
      </c>
      <c r="I84" s="11" t="n">
        <v>798.3200000000001</v>
      </c>
      <c r="J84" s="12" t="n">
        <v>0</v>
      </c>
      <c r="K84" s="11" t="n">
        <v>3193.28</v>
      </c>
      <c r="L84" s="11" t="n">
        <v>622.86</v>
      </c>
      <c r="M84" s="12" t="n">
        <v>0.1951</v>
      </c>
    </row>
    <row r="85">
      <c r="A85" t="inlineStr">
        <is>
          <t>ORD-10386</t>
        </is>
      </c>
      <c r="B85" s="10" t="inlineStr">
        <is>
          <t>2024-01-24</t>
        </is>
      </c>
      <c r="C85" t="inlineStr">
        <is>
          <t>Customer 191</t>
        </is>
      </c>
      <c r="D85" t="inlineStr">
        <is>
          <t>East</t>
        </is>
      </c>
      <c r="E85" t="inlineStr">
        <is>
          <t>Office Supplies</t>
        </is>
      </c>
      <c r="F85" t="inlineStr">
        <is>
          <t>Pens (Box)</t>
        </is>
      </c>
      <c r="G85" t="inlineStr">
        <is>
          <t>First Class</t>
        </is>
      </c>
      <c r="H85" t="n">
        <v>6</v>
      </c>
      <c r="I85" s="11" t="n">
        <v>177.27</v>
      </c>
      <c r="J85" s="12" t="n">
        <v>0</v>
      </c>
      <c r="K85" s="11" t="n">
        <v>1063.62</v>
      </c>
      <c r="L85" s="11" t="n">
        <v>445.24</v>
      </c>
      <c r="M85" s="12" t="n">
        <v>0.4186</v>
      </c>
    </row>
    <row r="86">
      <c r="A86" t="inlineStr">
        <is>
          <t>ORD-10370</t>
        </is>
      </c>
      <c r="B86" s="10" t="inlineStr">
        <is>
          <t>2024-01-25</t>
        </is>
      </c>
      <c r="C86" t="inlineStr">
        <is>
          <t>Customer 58</t>
        </is>
      </c>
      <c r="D86" t="inlineStr">
        <is>
          <t>North</t>
        </is>
      </c>
      <c r="E86" t="inlineStr">
        <is>
          <t>Office Supplies</t>
        </is>
      </c>
      <c r="F86" t="inlineStr">
        <is>
          <t>Binder</t>
        </is>
      </c>
      <c r="G86" t="inlineStr">
        <is>
          <t>Second Class</t>
        </is>
      </c>
      <c r="H86" t="n">
        <v>3</v>
      </c>
      <c r="I86" s="11" t="n">
        <v>821.2</v>
      </c>
      <c r="J86" s="12" t="n">
        <v>0.3</v>
      </c>
      <c r="K86" s="11" t="n">
        <v>1724.52</v>
      </c>
      <c r="L86" s="11" t="n">
        <v>-222.22</v>
      </c>
      <c r="M86" s="12" t="n">
        <v>-0.1289</v>
      </c>
    </row>
    <row r="87">
      <c r="A87" t="inlineStr">
        <is>
          <t>ORD-11744</t>
        </is>
      </c>
      <c r="B87" s="10" t="inlineStr">
        <is>
          <t>2024-01-26</t>
        </is>
      </c>
      <c r="C87" t="inlineStr">
        <is>
          <t>Customer 196</t>
        </is>
      </c>
      <c r="D87" t="inlineStr">
        <is>
          <t>North</t>
        </is>
      </c>
      <c r="E87" t="inlineStr">
        <is>
          <t>Technology</t>
        </is>
      </c>
      <c r="F87" t="inlineStr">
        <is>
          <t>Laptop</t>
        </is>
      </c>
      <c r="G87" t="inlineStr">
        <is>
          <t>First Class</t>
        </is>
      </c>
      <c r="H87" t="n">
        <v>2</v>
      </c>
      <c r="I87" s="11" t="n">
        <v>866.66</v>
      </c>
      <c r="J87" s="12" t="n">
        <v>0.15</v>
      </c>
      <c r="K87" s="11" t="n">
        <v>1473.32</v>
      </c>
      <c r="L87" s="11" t="n">
        <v>294.55</v>
      </c>
      <c r="M87" s="12" t="n">
        <v>0.1999</v>
      </c>
    </row>
    <row r="88">
      <c r="A88" t="inlineStr">
        <is>
          <t>ORD-11122</t>
        </is>
      </c>
      <c r="B88" s="10" t="inlineStr">
        <is>
          <t>2024-01-26</t>
        </is>
      </c>
      <c r="C88" t="inlineStr">
        <is>
          <t>Customer 68</t>
        </is>
      </c>
      <c r="D88" t="inlineStr">
        <is>
          <t>South</t>
        </is>
      </c>
      <c r="E88" t="inlineStr">
        <is>
          <t>Office Supplies</t>
        </is>
      </c>
      <c r="F88" t="inlineStr">
        <is>
          <t>Paper</t>
        </is>
      </c>
      <c r="G88" t="inlineStr">
        <is>
          <t>Standard Class</t>
        </is>
      </c>
      <c r="H88" t="n">
        <v>6</v>
      </c>
      <c r="I88" s="11" t="n">
        <v>272.96</v>
      </c>
      <c r="J88" s="12" t="n">
        <v>0</v>
      </c>
      <c r="K88" s="11" t="n">
        <v>1637.76</v>
      </c>
      <c r="L88" s="11" t="n">
        <v>810.73</v>
      </c>
      <c r="M88" s="12" t="n">
        <v>0.495</v>
      </c>
    </row>
    <row r="89">
      <c r="A89" t="inlineStr">
        <is>
          <t>ORD-10731</t>
        </is>
      </c>
      <c r="B89" s="10" t="inlineStr">
        <is>
          <t>2024-01-26</t>
        </is>
      </c>
      <c r="C89" t="inlineStr">
        <is>
          <t>Customer 35</t>
        </is>
      </c>
      <c r="D89" t="inlineStr">
        <is>
          <t>West</t>
        </is>
      </c>
      <c r="E89" t="inlineStr">
        <is>
          <t>Furniture</t>
        </is>
      </c>
      <c r="F89" t="inlineStr">
        <is>
          <t>Bookcase</t>
        </is>
      </c>
      <c r="G89" t="inlineStr">
        <is>
          <t>Standard Class</t>
        </is>
      </c>
      <c r="H89" t="n">
        <v>6</v>
      </c>
      <c r="I89" s="11" t="n">
        <v>788.8200000000001</v>
      </c>
      <c r="J89" s="12" t="n">
        <v>0</v>
      </c>
      <c r="K89" s="11" t="n">
        <v>1577.64</v>
      </c>
      <c r="L89" s="11" t="n">
        <v>360.65</v>
      </c>
      <c r="M89" s="12" t="n">
        <v>0.2286</v>
      </c>
    </row>
    <row r="90">
      <c r="A90" t="inlineStr">
        <is>
          <t>ORD-11309</t>
        </is>
      </c>
      <c r="B90" s="10" t="inlineStr">
        <is>
          <t>2024-01-26</t>
        </is>
      </c>
      <c r="C90" t="inlineStr">
        <is>
          <t>Customer 126</t>
        </is>
      </c>
      <c r="D90" t="inlineStr">
        <is>
          <t>East</t>
        </is>
      </c>
      <c r="E90" t="inlineStr">
        <is>
          <t>Furniture</t>
        </is>
      </c>
      <c r="F90" t="inlineStr">
        <is>
          <t>Desk</t>
        </is>
      </c>
      <c r="G90" t="inlineStr">
        <is>
          <t>First Class</t>
        </is>
      </c>
      <c r="H90" t="n">
        <v>11</v>
      </c>
      <c r="I90" s="11" t="n">
        <v>796.3200000000001</v>
      </c>
      <c r="J90" s="12" t="n">
        <v>0</v>
      </c>
      <c r="K90" s="11" t="n">
        <v>8759.52</v>
      </c>
      <c r="L90" s="11" t="n">
        <v>3698.03</v>
      </c>
      <c r="M90" s="12" t="n">
        <v>0.4222</v>
      </c>
    </row>
    <row r="91">
      <c r="A91" t="inlineStr">
        <is>
          <t>ORD-10803</t>
        </is>
      </c>
      <c r="B91" s="10" t="inlineStr">
        <is>
          <t>2024-01-27</t>
        </is>
      </c>
      <c r="C91" t="inlineStr">
        <is>
          <t>Customer 133</t>
        </is>
      </c>
      <c r="D91" t="inlineStr">
        <is>
          <t>North</t>
        </is>
      </c>
      <c r="E91" t="inlineStr">
        <is>
          <t>Technology</t>
        </is>
      </c>
      <c r="F91" t="inlineStr">
        <is>
          <t>Printer</t>
        </is>
      </c>
      <c r="G91" t="inlineStr">
        <is>
          <t>Same Day</t>
        </is>
      </c>
      <c r="H91" t="n">
        <v>4</v>
      </c>
      <c r="I91" s="11" t="n">
        <v>478.29</v>
      </c>
      <c r="J91" s="12" t="n">
        <v>0</v>
      </c>
      <c r="K91" s="11" t="n">
        <v>1913.16</v>
      </c>
      <c r="L91" s="11" t="n">
        <v>341.92</v>
      </c>
      <c r="M91" s="12" t="n">
        <v>0.1787</v>
      </c>
    </row>
    <row r="92">
      <c r="A92" t="inlineStr">
        <is>
          <t>ORD-10870</t>
        </is>
      </c>
      <c r="B92" s="10" t="inlineStr">
        <is>
          <t>2024-01-27</t>
        </is>
      </c>
      <c r="C92" t="inlineStr">
        <is>
          <t>Customer 85</t>
        </is>
      </c>
      <c r="D92" t="inlineStr">
        <is>
          <t>East</t>
        </is>
      </c>
      <c r="E92" t="inlineStr">
        <is>
          <t>Furniture</t>
        </is>
      </c>
      <c r="F92" t="inlineStr">
        <is>
          <t>Table Lamp</t>
        </is>
      </c>
      <c r="G92" t="inlineStr">
        <is>
          <t>Standard Class</t>
        </is>
      </c>
      <c r="H92" t="n">
        <v>3</v>
      </c>
      <c r="I92" s="11" t="n">
        <v>462.03</v>
      </c>
      <c r="J92" s="12" t="n">
        <v>0.1</v>
      </c>
      <c r="K92" s="11" t="n">
        <v>1247.48</v>
      </c>
      <c r="L92" s="11" t="n">
        <v>189.19</v>
      </c>
      <c r="M92" s="12" t="n">
        <v>0.1517</v>
      </c>
    </row>
    <row r="93">
      <c r="A93" t="inlineStr">
        <is>
          <t>ORD-10504</t>
        </is>
      </c>
      <c r="B93" s="10" t="inlineStr">
        <is>
          <t>2024-01-27</t>
        </is>
      </c>
      <c r="C93" t="inlineStr">
        <is>
          <t>Customer 115</t>
        </is>
      </c>
      <c r="D93" t="inlineStr">
        <is>
          <t>East</t>
        </is>
      </c>
      <c r="E93" t="inlineStr">
        <is>
          <t>Furniture</t>
        </is>
      </c>
      <c r="F93" t="inlineStr">
        <is>
          <t>Table Lamp</t>
        </is>
      </c>
      <c r="G93" t="inlineStr">
        <is>
          <t>Second Class</t>
        </is>
      </c>
      <c r="H93" t="n">
        <v>6</v>
      </c>
      <c r="I93" s="11" t="n">
        <v>1026.92</v>
      </c>
      <c r="J93" s="12" t="n">
        <v>0</v>
      </c>
      <c r="K93" s="11" t="n">
        <v>6161.52</v>
      </c>
      <c r="L93" s="11" t="n">
        <v>1986.86</v>
      </c>
      <c r="M93" s="12" t="n">
        <v>0.3225</v>
      </c>
    </row>
    <row r="94">
      <c r="A94" t="inlineStr">
        <is>
          <t>ORD-10788</t>
        </is>
      </c>
      <c r="B94" s="10" t="inlineStr">
        <is>
          <t>2024-01-28</t>
        </is>
      </c>
      <c r="C94" t="inlineStr">
        <is>
          <t>Customer 148</t>
        </is>
      </c>
      <c r="D94" t="inlineStr">
        <is>
          <t>North</t>
        </is>
      </c>
      <c r="E94" t="inlineStr">
        <is>
          <t>Furniture</t>
        </is>
      </c>
      <c r="F94" t="inlineStr">
        <is>
          <t>Desk</t>
        </is>
      </c>
      <c r="G94" t="inlineStr">
        <is>
          <t>First Class</t>
        </is>
      </c>
      <c r="H94" t="n">
        <v>7</v>
      </c>
      <c r="I94" s="11" t="n">
        <v>354.95</v>
      </c>
      <c r="J94" s="12" t="n">
        <v>0</v>
      </c>
      <c r="K94" s="11" t="n">
        <v>2484.65</v>
      </c>
      <c r="L94" s="11" t="n">
        <v>1153.3</v>
      </c>
      <c r="M94" s="12" t="n">
        <v>0.4642</v>
      </c>
    </row>
    <row r="95">
      <c r="A95" t="inlineStr">
        <is>
          <t>ORD-10688</t>
        </is>
      </c>
      <c r="B95" s="10" t="inlineStr">
        <is>
          <t>2024-01-28</t>
        </is>
      </c>
      <c r="C95" t="inlineStr">
        <is>
          <t>Customer 167</t>
        </is>
      </c>
      <c r="D95" t="inlineStr">
        <is>
          <t>South</t>
        </is>
      </c>
      <c r="E95" t="inlineStr">
        <is>
          <t>Office Supplies</t>
        </is>
      </c>
      <c r="F95" t="inlineStr">
        <is>
          <t>Pens (Box)</t>
        </is>
      </c>
      <c r="G95" t="inlineStr">
        <is>
          <t>Same Day</t>
        </is>
      </c>
      <c r="H95" t="n">
        <v>3</v>
      </c>
      <c r="I95" s="11" t="n">
        <v>666.75</v>
      </c>
      <c r="J95" s="12" t="n">
        <v>0</v>
      </c>
      <c r="K95" s="11" t="n">
        <v>2000.25</v>
      </c>
      <c r="L95" s="11" t="n">
        <v>787.6900000000001</v>
      </c>
      <c r="M95" s="12" t="n">
        <v>0.3938</v>
      </c>
    </row>
    <row r="96">
      <c r="A96" t="inlineStr">
        <is>
          <t>ORD-11562</t>
        </is>
      </c>
      <c r="B96" s="10" t="inlineStr">
        <is>
          <t>2024-01-28</t>
        </is>
      </c>
      <c r="C96" t="inlineStr">
        <is>
          <t>Customer 42</t>
        </is>
      </c>
      <c r="D96" t="inlineStr">
        <is>
          <t>West</t>
        </is>
      </c>
      <c r="E96" t="inlineStr">
        <is>
          <t>Office Supplies</t>
        </is>
      </c>
      <c r="F96" t="inlineStr">
        <is>
          <t>Binder</t>
        </is>
      </c>
      <c r="G96" t="inlineStr">
        <is>
          <t>Same Day</t>
        </is>
      </c>
      <c r="H96" t="n">
        <v>9</v>
      </c>
      <c r="I96" s="11" t="n">
        <v>1117.12</v>
      </c>
      <c r="J96" s="12" t="n">
        <v>0.1</v>
      </c>
      <c r="K96" s="11" t="n">
        <v>9048.67</v>
      </c>
      <c r="L96" s="11" t="n">
        <v>565.47</v>
      </c>
      <c r="M96" s="12" t="n">
        <v>0.0625</v>
      </c>
    </row>
    <row r="97">
      <c r="A97" t="inlineStr">
        <is>
          <t>ORD-10367</t>
        </is>
      </c>
      <c r="B97" s="10" t="inlineStr">
        <is>
          <t>2024-01-28</t>
        </is>
      </c>
      <c r="C97" t="inlineStr">
        <is>
          <t>Customer 66</t>
        </is>
      </c>
      <c r="D97" t="inlineStr">
        <is>
          <t>South</t>
        </is>
      </c>
      <c r="E97" t="inlineStr">
        <is>
          <t>Office Supplies</t>
        </is>
      </c>
      <c r="F97" t="inlineStr">
        <is>
          <t>Binder</t>
        </is>
      </c>
      <c r="G97" t="inlineStr">
        <is>
          <t>Same Day</t>
        </is>
      </c>
      <c r="H97" t="n">
        <v>6</v>
      </c>
      <c r="I97" s="11" t="n">
        <v>285.63</v>
      </c>
      <c r="J97" s="12" t="n">
        <v>0</v>
      </c>
      <c r="K97" s="11" t="n">
        <v>1713.78</v>
      </c>
      <c r="L97" s="11" t="n">
        <v>653.97</v>
      </c>
      <c r="M97" s="12" t="n">
        <v>0.3816</v>
      </c>
    </row>
    <row r="98">
      <c r="A98" t="inlineStr">
        <is>
          <t>ORD-10486</t>
        </is>
      </c>
      <c r="B98" s="10" t="inlineStr">
        <is>
          <t>2024-01-28</t>
        </is>
      </c>
      <c r="C98" t="inlineStr">
        <is>
          <t>Customer 72</t>
        </is>
      </c>
      <c r="D98" t="inlineStr">
        <is>
          <t>North</t>
        </is>
      </c>
      <c r="E98" t="inlineStr">
        <is>
          <t>Office Supplies</t>
        </is>
      </c>
      <c r="F98" t="inlineStr">
        <is>
          <t>Binder</t>
        </is>
      </c>
      <c r="G98" t="inlineStr">
        <is>
          <t>First Class</t>
        </is>
      </c>
      <c r="H98" t="n">
        <v>8</v>
      </c>
      <c r="I98" s="11" t="n">
        <v>965.78</v>
      </c>
      <c r="J98" s="12" t="n">
        <v>0</v>
      </c>
      <c r="K98" s="11" t="n">
        <v>7726.24</v>
      </c>
      <c r="L98" s="11" t="n">
        <v>3028.21</v>
      </c>
      <c r="M98" s="12" t="n">
        <v>0.3919</v>
      </c>
    </row>
    <row r="99">
      <c r="A99" t="inlineStr">
        <is>
          <t>ORD-11555</t>
        </is>
      </c>
      <c r="B99" s="10" t="inlineStr">
        <is>
          <t>2024-01-29</t>
        </is>
      </c>
      <c r="C99" t="inlineStr">
        <is>
          <t>Customer 17</t>
        </is>
      </c>
      <c r="D99" t="inlineStr">
        <is>
          <t>East</t>
        </is>
      </c>
      <c r="E99" t="inlineStr">
        <is>
          <t>Office Supplies</t>
        </is>
      </c>
      <c r="F99" t="inlineStr">
        <is>
          <t>Paper</t>
        </is>
      </c>
      <c r="G99" t="inlineStr">
        <is>
          <t>Second Class</t>
        </is>
      </c>
      <c r="H99" t="n">
        <v>5</v>
      </c>
      <c r="I99" s="11" t="n">
        <v>589</v>
      </c>
      <c r="J99" s="12" t="n">
        <v>0.1</v>
      </c>
      <c r="K99" s="11" t="n">
        <v>2650.5</v>
      </c>
      <c r="L99" s="11" t="n">
        <v>592.09</v>
      </c>
      <c r="M99" s="12" t="n">
        <v>0.2234</v>
      </c>
    </row>
    <row r="100">
      <c r="A100" t="inlineStr">
        <is>
          <t>ORD-10793</t>
        </is>
      </c>
      <c r="B100" s="10" t="inlineStr">
        <is>
          <t>2024-01-29</t>
        </is>
      </c>
      <c r="C100" t="inlineStr">
        <is>
          <t>Customer 178</t>
        </is>
      </c>
      <c r="D100" t="inlineStr">
        <is>
          <t>North</t>
        </is>
      </c>
      <c r="E100" t="inlineStr">
        <is>
          <t>Furniture</t>
        </is>
      </c>
      <c r="F100" t="inlineStr">
        <is>
          <t>Bookcase</t>
        </is>
      </c>
      <c r="G100" t="inlineStr">
        <is>
          <t>Second Class</t>
        </is>
      </c>
      <c r="H100" t="n">
        <v>10</v>
      </c>
      <c r="I100" s="11" t="n">
        <v>577.77</v>
      </c>
      <c r="J100" s="12" t="n">
        <v>0</v>
      </c>
      <c r="K100" s="11" t="n">
        <v>5777.7</v>
      </c>
      <c r="L100" s="11" t="n">
        <v>2366.88</v>
      </c>
      <c r="M100" s="12" t="n">
        <v>0.4097</v>
      </c>
    </row>
    <row r="101">
      <c r="A101" t="inlineStr">
        <is>
          <t>ORD-11013</t>
        </is>
      </c>
      <c r="B101" s="10" t="inlineStr">
        <is>
          <t>2024-01-29</t>
        </is>
      </c>
      <c r="C101" t="inlineStr">
        <is>
          <t>Customer 95</t>
        </is>
      </c>
      <c r="D101" t="inlineStr">
        <is>
          <t>West</t>
        </is>
      </c>
      <c r="E101" t="inlineStr">
        <is>
          <t>Furniture</t>
        </is>
      </c>
      <c r="F101" t="inlineStr">
        <is>
          <t>Chair</t>
        </is>
      </c>
      <c r="G101" t="inlineStr">
        <is>
          <t>First Class</t>
        </is>
      </c>
      <c r="H101" t="n">
        <v>6</v>
      </c>
      <c r="I101" s="11" t="n">
        <v>794.34</v>
      </c>
      <c r="J101" s="12" t="n">
        <v>0.15</v>
      </c>
      <c r="K101" s="11" t="n">
        <v>4051.13</v>
      </c>
      <c r="L101" s="11" t="n">
        <v>677.61</v>
      </c>
      <c r="M101" s="12" t="n">
        <v>0.1673</v>
      </c>
    </row>
    <row r="102">
      <c r="A102" t="inlineStr">
        <is>
          <t>ORD-10142</t>
        </is>
      </c>
      <c r="B102" s="10" t="inlineStr">
        <is>
          <t>2024-01-30</t>
        </is>
      </c>
      <c r="C102" t="inlineStr">
        <is>
          <t>Customer 174</t>
        </is>
      </c>
      <c r="D102" t="inlineStr">
        <is>
          <t>East</t>
        </is>
      </c>
      <c r="E102" t="inlineStr">
        <is>
          <t>Office Supplies</t>
        </is>
      </c>
      <c r="F102" t="inlineStr">
        <is>
          <t>Pens (Box)</t>
        </is>
      </c>
      <c r="G102" t="inlineStr">
        <is>
          <t>Same Day</t>
        </is>
      </c>
      <c r="H102" t="n">
        <v>7</v>
      </c>
      <c r="I102" s="11" t="n">
        <v>542.3099999999999</v>
      </c>
      <c r="J102" s="12" t="n">
        <v>0.15</v>
      </c>
      <c r="K102" s="11" t="n">
        <v>3226.74</v>
      </c>
      <c r="L102" s="11" t="n">
        <v>332.67</v>
      </c>
      <c r="M102" s="12" t="n">
        <v>0.1031</v>
      </c>
    </row>
    <row r="103">
      <c r="A103" t="inlineStr">
        <is>
          <t>ORD-10816</t>
        </is>
      </c>
      <c r="B103" s="10" t="inlineStr">
        <is>
          <t>2024-01-30</t>
        </is>
      </c>
      <c r="C103" t="inlineStr">
        <is>
          <t>Customer 28</t>
        </is>
      </c>
      <c r="D103" t="inlineStr">
        <is>
          <t>West</t>
        </is>
      </c>
      <c r="E103" t="inlineStr">
        <is>
          <t>Technology</t>
        </is>
      </c>
      <c r="F103" t="inlineStr">
        <is>
          <t>Printer</t>
        </is>
      </c>
      <c r="G103" t="inlineStr">
        <is>
          <t>Standard Class</t>
        </is>
      </c>
      <c r="H103" t="n">
        <v>2</v>
      </c>
      <c r="I103" s="11" t="n">
        <v>819.77</v>
      </c>
      <c r="J103" s="12" t="n">
        <v>0</v>
      </c>
      <c r="K103" s="11" t="n">
        <v>1639.54</v>
      </c>
      <c r="L103" s="11" t="n">
        <v>599.3</v>
      </c>
      <c r="M103" s="12" t="n">
        <v>0.3655</v>
      </c>
    </row>
    <row r="104">
      <c r="A104" t="inlineStr">
        <is>
          <t>ORD-11512</t>
        </is>
      </c>
      <c r="B104" s="10" t="inlineStr">
        <is>
          <t>2024-01-30</t>
        </is>
      </c>
      <c r="C104" t="inlineStr">
        <is>
          <t>Customer 178</t>
        </is>
      </c>
      <c r="D104" t="inlineStr">
        <is>
          <t>North</t>
        </is>
      </c>
      <c r="E104" t="inlineStr">
        <is>
          <t>Technology</t>
        </is>
      </c>
      <c r="F104" t="inlineStr">
        <is>
          <t>Printer</t>
        </is>
      </c>
      <c r="G104" t="inlineStr">
        <is>
          <t>Standard Class</t>
        </is>
      </c>
      <c r="H104" t="n">
        <v>8</v>
      </c>
      <c r="I104" s="11" t="n">
        <v>119.38</v>
      </c>
      <c r="J104" s="12" t="n">
        <v>0.3</v>
      </c>
      <c r="K104" s="11" t="n">
        <v>668.53</v>
      </c>
      <c r="L104" s="11" t="n">
        <v>-31.11</v>
      </c>
      <c r="M104" s="12" t="n">
        <v>-0.0465</v>
      </c>
    </row>
    <row r="105">
      <c r="A105" t="inlineStr">
        <is>
          <t>ORD-11135</t>
        </is>
      </c>
      <c r="B105" s="10" t="inlineStr">
        <is>
          <t>2024-01-30</t>
        </is>
      </c>
      <c r="C105" t="inlineStr">
        <is>
          <t>Customer 52</t>
        </is>
      </c>
      <c r="D105" t="inlineStr">
        <is>
          <t>North</t>
        </is>
      </c>
      <c r="E105" t="inlineStr">
        <is>
          <t>Office Supplies</t>
        </is>
      </c>
      <c r="F105" t="inlineStr">
        <is>
          <t>Binder</t>
        </is>
      </c>
      <c r="G105" t="inlineStr">
        <is>
          <t>Second Class</t>
        </is>
      </c>
      <c r="H105" t="n">
        <v>4</v>
      </c>
      <c r="I105" s="11" t="n">
        <v>555.72</v>
      </c>
      <c r="J105" s="12" t="n">
        <v>0</v>
      </c>
      <c r="K105" s="11" t="n">
        <v>2222.88</v>
      </c>
      <c r="L105" s="11" t="n">
        <v>705.8</v>
      </c>
      <c r="M105" s="12" t="n">
        <v>0.3175</v>
      </c>
    </row>
    <row r="106">
      <c r="A106" t="inlineStr">
        <is>
          <t>ORD-11962</t>
        </is>
      </c>
      <c r="B106" s="10" t="inlineStr">
        <is>
          <t>2024-01-31</t>
        </is>
      </c>
      <c r="C106" t="inlineStr">
        <is>
          <t>Customer 103</t>
        </is>
      </c>
      <c r="D106" t="inlineStr">
        <is>
          <t>West</t>
        </is>
      </c>
      <c r="E106" t="inlineStr">
        <is>
          <t>Technology</t>
        </is>
      </c>
      <c r="F106" t="inlineStr">
        <is>
          <t>Wireless Mouse</t>
        </is>
      </c>
      <c r="G106" t="inlineStr">
        <is>
          <t>Standard Class</t>
        </is>
      </c>
      <c r="H106" t="n">
        <v>6</v>
      </c>
      <c r="I106" s="11" t="n">
        <v>743.1799999999999</v>
      </c>
      <c r="J106" s="12" t="n">
        <v>0.1</v>
      </c>
      <c r="K106" s="11" t="n">
        <v>4013.17</v>
      </c>
      <c r="L106" s="11" t="n">
        <v>266.78</v>
      </c>
      <c r="M106" s="12" t="n">
        <v>0.0665</v>
      </c>
    </row>
    <row r="107">
      <c r="A107" t="inlineStr">
        <is>
          <t>ORD-10307</t>
        </is>
      </c>
      <c r="B107" s="10" t="inlineStr">
        <is>
          <t>2024-01-31</t>
        </is>
      </c>
      <c r="C107" t="inlineStr">
        <is>
          <t>Customer 165</t>
        </is>
      </c>
      <c r="D107" t="inlineStr">
        <is>
          <t>South</t>
        </is>
      </c>
      <c r="E107" t="inlineStr">
        <is>
          <t>Technology</t>
        </is>
      </c>
      <c r="F107" t="inlineStr">
        <is>
          <t>Printer</t>
        </is>
      </c>
      <c r="G107" t="inlineStr">
        <is>
          <t>Second Class</t>
        </is>
      </c>
      <c r="H107" t="n">
        <v>4</v>
      </c>
      <c r="I107" s="11" t="n">
        <v>1023.88</v>
      </c>
      <c r="J107" s="12" t="n">
        <v>0</v>
      </c>
      <c r="K107" s="11" t="n">
        <v>4095.52</v>
      </c>
      <c r="L107" s="11" t="n">
        <v>1741.25</v>
      </c>
      <c r="M107" s="12" t="n">
        <v>0.4252</v>
      </c>
    </row>
    <row r="108">
      <c r="A108" t="inlineStr">
        <is>
          <t>ORD-10300</t>
        </is>
      </c>
      <c r="B108" s="10" t="inlineStr">
        <is>
          <t>2024-01-31</t>
        </is>
      </c>
      <c r="C108" t="inlineStr">
        <is>
          <t>Customer 5</t>
        </is>
      </c>
      <c r="D108" t="inlineStr">
        <is>
          <t>South</t>
        </is>
      </c>
      <c r="E108" t="inlineStr">
        <is>
          <t>Office Supplies</t>
        </is>
      </c>
      <c r="F108" t="inlineStr">
        <is>
          <t>Pens (Box)</t>
        </is>
      </c>
      <c r="G108" t="inlineStr">
        <is>
          <t>Second Class</t>
        </is>
      </c>
      <c r="H108" t="n">
        <v>9</v>
      </c>
      <c r="I108" s="11" t="n">
        <v>536.7</v>
      </c>
      <c r="J108" s="12" t="n">
        <v>0</v>
      </c>
      <c r="K108" s="11" t="n">
        <v>4830.3</v>
      </c>
      <c r="L108" s="11" t="n">
        <v>2167.07</v>
      </c>
      <c r="M108" s="12" t="n">
        <v>0.4486</v>
      </c>
    </row>
    <row r="109">
      <c r="A109" t="inlineStr">
        <is>
          <t>ORD-10886</t>
        </is>
      </c>
      <c r="B109" s="10" t="inlineStr">
        <is>
          <t>2024-02-01</t>
        </is>
      </c>
      <c r="C109" t="inlineStr">
        <is>
          <t>Customer 24</t>
        </is>
      </c>
      <c r="D109" t="inlineStr">
        <is>
          <t>West</t>
        </is>
      </c>
      <c r="E109" t="inlineStr">
        <is>
          <t>Office Supplies</t>
        </is>
      </c>
      <c r="F109" t="inlineStr">
        <is>
          <t>Binder</t>
        </is>
      </c>
      <c r="G109" t="inlineStr">
        <is>
          <t>First Class</t>
        </is>
      </c>
      <c r="H109" t="n">
        <v>5</v>
      </c>
      <c r="I109" s="11" t="n">
        <v>985.83</v>
      </c>
      <c r="J109" s="12" t="n">
        <v>0</v>
      </c>
      <c r="K109" s="11" t="n">
        <v>4929.15</v>
      </c>
      <c r="L109" s="11" t="n">
        <v>1578.31</v>
      </c>
      <c r="M109" s="12" t="n">
        <v>0.3202</v>
      </c>
    </row>
    <row r="110">
      <c r="A110" t="inlineStr">
        <is>
          <t>ORD-11651</t>
        </is>
      </c>
      <c r="B110" s="10" t="inlineStr">
        <is>
          <t>2024-02-02</t>
        </is>
      </c>
      <c r="C110" t="inlineStr">
        <is>
          <t>Customer 50</t>
        </is>
      </c>
      <c r="D110" t="inlineStr">
        <is>
          <t>West</t>
        </is>
      </c>
      <c r="E110" t="inlineStr">
        <is>
          <t>Technology</t>
        </is>
      </c>
      <c r="F110" t="inlineStr">
        <is>
          <t>Printer</t>
        </is>
      </c>
      <c r="G110" t="inlineStr">
        <is>
          <t>Second Class</t>
        </is>
      </c>
      <c r="H110" t="n">
        <v>8</v>
      </c>
      <c r="I110" s="11" t="n">
        <v>634.03</v>
      </c>
      <c r="J110" s="12" t="n">
        <v>0</v>
      </c>
      <c r="K110" s="11" t="n">
        <v>5072.24</v>
      </c>
      <c r="L110" s="11" t="n">
        <v>1766.67</v>
      </c>
      <c r="M110" s="12" t="n">
        <v>0.3483</v>
      </c>
    </row>
    <row r="111">
      <c r="A111" t="inlineStr">
        <is>
          <t>ORD-11557</t>
        </is>
      </c>
      <c r="B111" s="10" t="inlineStr">
        <is>
          <t>2024-02-02</t>
        </is>
      </c>
      <c r="C111" t="inlineStr">
        <is>
          <t>Customer 162</t>
        </is>
      </c>
      <c r="D111" t="inlineStr">
        <is>
          <t>East</t>
        </is>
      </c>
      <c r="E111" t="inlineStr">
        <is>
          <t>Office Supplies</t>
        </is>
      </c>
      <c r="F111" t="inlineStr">
        <is>
          <t>Binder</t>
        </is>
      </c>
      <c r="G111" t="inlineStr">
        <is>
          <t>Second Class</t>
        </is>
      </c>
      <c r="H111" t="n">
        <v>7</v>
      </c>
      <c r="I111" s="11" t="n">
        <v>833.76</v>
      </c>
      <c r="J111" s="12" t="n">
        <v>0</v>
      </c>
      <c r="K111" s="11" t="n">
        <v>5836.32</v>
      </c>
      <c r="L111" s="11" t="n">
        <v>2796.74</v>
      </c>
      <c r="M111" s="12" t="n">
        <v>0.4792</v>
      </c>
    </row>
    <row r="112">
      <c r="A112" t="inlineStr">
        <is>
          <t>ORD-11376</t>
        </is>
      </c>
      <c r="B112" s="10" t="inlineStr">
        <is>
          <t>2024-02-02</t>
        </is>
      </c>
      <c r="C112" t="inlineStr">
        <is>
          <t>Customer 51</t>
        </is>
      </c>
      <c r="D112" t="inlineStr">
        <is>
          <t>West</t>
        </is>
      </c>
      <c r="E112" t="inlineStr">
        <is>
          <t>Office Supplies</t>
        </is>
      </c>
      <c r="F112" t="inlineStr">
        <is>
          <t>Binder</t>
        </is>
      </c>
      <c r="G112" t="inlineStr">
        <is>
          <t>First Class</t>
        </is>
      </c>
      <c r="H112" t="n">
        <v>4</v>
      </c>
      <c r="I112" s="11" t="n">
        <v>137.57</v>
      </c>
      <c r="J112" s="12" t="n">
        <v>0</v>
      </c>
      <c r="K112" s="11" t="n">
        <v>550.28</v>
      </c>
      <c r="L112" s="11" t="n">
        <v>204.87</v>
      </c>
      <c r="M112" s="12" t="n">
        <v>0.3723</v>
      </c>
    </row>
    <row r="113">
      <c r="A113" t="inlineStr">
        <is>
          <t>ORD-11728</t>
        </is>
      </c>
      <c r="B113" s="10" t="inlineStr">
        <is>
          <t>2024-02-02</t>
        </is>
      </c>
      <c r="C113" t="inlineStr">
        <is>
          <t>Customer 75</t>
        </is>
      </c>
      <c r="D113" t="inlineStr">
        <is>
          <t>East</t>
        </is>
      </c>
      <c r="E113" t="inlineStr">
        <is>
          <t>Furniture</t>
        </is>
      </c>
      <c r="F113" t="inlineStr">
        <is>
          <t>Bookcase</t>
        </is>
      </c>
      <c r="G113" t="inlineStr">
        <is>
          <t>Same Day</t>
        </is>
      </c>
      <c r="H113" t="n">
        <v>6</v>
      </c>
      <c r="I113" s="11" t="n">
        <v>996.8200000000001</v>
      </c>
      <c r="J113" s="12" t="n">
        <v>0.3</v>
      </c>
      <c r="K113" s="11" t="n">
        <v>4186.64</v>
      </c>
      <c r="L113" s="11" t="n">
        <v>-75.8</v>
      </c>
      <c r="M113" s="12" t="n">
        <v>-0.0181</v>
      </c>
    </row>
    <row r="114">
      <c r="A114" t="inlineStr">
        <is>
          <t>ORD-11492</t>
        </is>
      </c>
      <c r="B114" s="10" t="inlineStr">
        <is>
          <t>2024-02-02</t>
        </is>
      </c>
      <c r="C114" t="inlineStr">
        <is>
          <t>Customer 128</t>
        </is>
      </c>
      <c r="D114" t="inlineStr">
        <is>
          <t>West</t>
        </is>
      </c>
      <c r="E114" t="inlineStr">
        <is>
          <t>Furniture</t>
        </is>
      </c>
      <c r="F114" t="inlineStr">
        <is>
          <t>Chair</t>
        </is>
      </c>
      <c r="G114" t="inlineStr">
        <is>
          <t>Second Class</t>
        </is>
      </c>
      <c r="H114" t="n">
        <v>10</v>
      </c>
      <c r="I114" s="11" t="n">
        <v>233.95</v>
      </c>
      <c r="J114" s="12" t="n">
        <v>0</v>
      </c>
      <c r="K114" s="11" t="n">
        <v>2339.5</v>
      </c>
      <c r="L114" s="11" t="n">
        <v>1155.3</v>
      </c>
      <c r="M114" s="12" t="n">
        <v>0.4938</v>
      </c>
    </row>
    <row r="115">
      <c r="A115" t="inlineStr">
        <is>
          <t>ORD-11049</t>
        </is>
      </c>
      <c r="B115" s="10" t="inlineStr">
        <is>
          <t>2024-02-03</t>
        </is>
      </c>
      <c r="C115" t="inlineStr">
        <is>
          <t>Customer 44</t>
        </is>
      </c>
      <c r="D115" t="inlineStr">
        <is>
          <t>South</t>
        </is>
      </c>
      <c r="E115" t="inlineStr">
        <is>
          <t>Technology</t>
        </is>
      </c>
      <c r="F115" t="inlineStr">
        <is>
          <t>Monitor</t>
        </is>
      </c>
      <c r="G115" t="inlineStr">
        <is>
          <t>Standard Class</t>
        </is>
      </c>
      <c r="H115" t="n">
        <v>9</v>
      </c>
      <c r="I115" s="11" t="n">
        <v>900.9299999999999</v>
      </c>
      <c r="J115" s="12" t="n">
        <v>0.15</v>
      </c>
      <c r="K115" s="11" t="n">
        <v>6892.11</v>
      </c>
      <c r="L115" s="11" t="n">
        <v>1846.57</v>
      </c>
      <c r="M115" s="12" t="n">
        <v>0.2679</v>
      </c>
    </row>
    <row r="116">
      <c r="A116" t="inlineStr">
        <is>
          <t>ORD-10904</t>
        </is>
      </c>
      <c r="B116" s="10" t="inlineStr">
        <is>
          <t>2024-02-04</t>
        </is>
      </c>
      <c r="C116" t="inlineStr">
        <is>
          <t>Customer 20</t>
        </is>
      </c>
      <c r="D116" t="inlineStr">
        <is>
          <t>South</t>
        </is>
      </c>
      <c r="E116" t="inlineStr">
        <is>
          <t>Furniture</t>
        </is>
      </c>
      <c r="F116" t="inlineStr">
        <is>
          <t>Desk</t>
        </is>
      </c>
      <c r="G116" t="inlineStr">
        <is>
          <t>Standard Class</t>
        </is>
      </c>
      <c r="H116" t="n">
        <v>5</v>
      </c>
      <c r="I116" s="11" t="n">
        <v>644.86</v>
      </c>
      <c r="J116" s="12" t="n">
        <v>0.3</v>
      </c>
      <c r="K116" s="11" t="n">
        <v>2257.01</v>
      </c>
      <c r="L116" s="11" t="n">
        <v>-448.65</v>
      </c>
      <c r="M116" s="12" t="n">
        <v>-0.1988</v>
      </c>
    </row>
    <row r="117">
      <c r="A117" t="inlineStr">
        <is>
          <t>ORD-11725</t>
        </is>
      </c>
      <c r="B117" s="10" t="inlineStr">
        <is>
          <t>2024-02-04</t>
        </is>
      </c>
      <c r="C117" t="inlineStr">
        <is>
          <t>Customer 27</t>
        </is>
      </c>
      <c r="D117" t="inlineStr">
        <is>
          <t>South</t>
        </is>
      </c>
      <c r="E117" t="inlineStr">
        <is>
          <t>Furniture</t>
        </is>
      </c>
      <c r="F117" t="inlineStr">
        <is>
          <t>Table Lamp</t>
        </is>
      </c>
      <c r="G117" t="inlineStr">
        <is>
          <t>Same Day</t>
        </is>
      </c>
      <c r="H117" t="n">
        <v>10</v>
      </c>
      <c r="I117" s="11" t="n">
        <v>17.93</v>
      </c>
      <c r="J117" s="12" t="n">
        <v>0</v>
      </c>
      <c r="K117" s="11" t="n">
        <v>179.3</v>
      </c>
      <c r="L117" s="11" t="n">
        <v>64.31</v>
      </c>
      <c r="M117" s="12" t="n">
        <v>0.3587</v>
      </c>
    </row>
    <row r="118">
      <c r="A118" t="inlineStr">
        <is>
          <t>ORD-11552</t>
        </is>
      </c>
      <c r="B118" s="10" t="inlineStr">
        <is>
          <t>2024-02-05</t>
        </is>
      </c>
      <c r="C118" t="inlineStr">
        <is>
          <t>Customer 13</t>
        </is>
      </c>
      <c r="D118" t="inlineStr">
        <is>
          <t>East</t>
        </is>
      </c>
      <c r="E118" t="inlineStr">
        <is>
          <t>Office Supplies</t>
        </is>
      </c>
      <c r="F118" t="inlineStr">
        <is>
          <t>Paper</t>
        </is>
      </c>
      <c r="G118" t="inlineStr">
        <is>
          <t>Second Class</t>
        </is>
      </c>
      <c r="H118" t="n">
        <v>4</v>
      </c>
      <c r="I118" s="11" t="n">
        <v>58.31</v>
      </c>
      <c r="J118" s="12" t="n">
        <v>0</v>
      </c>
      <c r="K118" s="11" t="n">
        <v>233.24</v>
      </c>
      <c r="L118" s="11" t="n">
        <v>69.29000000000001</v>
      </c>
      <c r="M118" s="12" t="n">
        <v>0.2971</v>
      </c>
    </row>
    <row r="119">
      <c r="A119" t="inlineStr">
        <is>
          <t>ORD-10102</t>
        </is>
      </c>
      <c r="B119" s="10" t="inlineStr">
        <is>
          <t>2024-02-05</t>
        </is>
      </c>
      <c r="C119" t="inlineStr">
        <is>
          <t>Customer 84</t>
        </is>
      </c>
      <c r="D119" t="inlineStr">
        <is>
          <t>West</t>
        </is>
      </c>
      <c r="E119" t="inlineStr">
        <is>
          <t>Furniture</t>
        </is>
      </c>
      <c r="F119" t="inlineStr">
        <is>
          <t>Table Lamp</t>
        </is>
      </c>
      <c r="G119" t="inlineStr">
        <is>
          <t>Standard Class</t>
        </is>
      </c>
      <c r="H119" t="n">
        <v>6</v>
      </c>
      <c r="I119" s="11" t="n">
        <v>555.62</v>
      </c>
      <c r="J119" s="12" t="n">
        <v>0.1</v>
      </c>
      <c r="K119" s="11" t="n">
        <v>3000.35</v>
      </c>
      <c r="L119" s="11" t="n">
        <v>1157.94</v>
      </c>
      <c r="M119" s="12" t="n">
        <v>0.3859</v>
      </c>
    </row>
    <row r="120">
      <c r="A120" t="inlineStr">
        <is>
          <t>ORD-10412</t>
        </is>
      </c>
      <c r="B120" s="10" t="inlineStr">
        <is>
          <t>2024-02-05</t>
        </is>
      </c>
      <c r="C120" t="inlineStr">
        <is>
          <t>Customer 87</t>
        </is>
      </c>
      <c r="D120" t="inlineStr">
        <is>
          <t>North</t>
        </is>
      </c>
      <c r="E120" t="inlineStr">
        <is>
          <t>Furniture</t>
        </is>
      </c>
      <c r="F120" t="inlineStr">
        <is>
          <t>Table Lamp</t>
        </is>
      </c>
      <c r="G120" t="inlineStr">
        <is>
          <t>First Class</t>
        </is>
      </c>
      <c r="H120" t="n">
        <v>2</v>
      </c>
      <c r="I120" s="11" t="n">
        <v>906.14</v>
      </c>
      <c r="J120" s="12" t="n">
        <v>0</v>
      </c>
      <c r="K120" s="11" t="n">
        <v>1812.28</v>
      </c>
      <c r="L120" s="11" t="n">
        <v>494.74</v>
      </c>
      <c r="M120" s="12" t="n">
        <v>0.273</v>
      </c>
    </row>
    <row r="121">
      <c r="A121" t="inlineStr">
        <is>
          <t>ORD-11105</t>
        </is>
      </c>
      <c r="B121" s="10" t="inlineStr">
        <is>
          <t>2024-02-06</t>
        </is>
      </c>
      <c r="C121" t="inlineStr">
        <is>
          <t>Customer 1</t>
        </is>
      </c>
      <c r="D121" t="inlineStr">
        <is>
          <t>North</t>
        </is>
      </c>
      <c r="E121" t="inlineStr">
        <is>
          <t>Technology</t>
        </is>
      </c>
      <c r="F121" t="inlineStr">
        <is>
          <t>Monitor</t>
        </is>
      </c>
      <c r="G121" t="inlineStr">
        <is>
          <t>First Class</t>
        </is>
      </c>
      <c r="H121" t="n">
        <v>8</v>
      </c>
      <c r="I121" s="11" t="n">
        <v>736.53</v>
      </c>
      <c r="J121" s="12" t="n">
        <v>0.1</v>
      </c>
      <c r="K121" s="11" t="n">
        <v>5303.02</v>
      </c>
      <c r="L121" s="11" t="n">
        <v>874.8200000000001</v>
      </c>
      <c r="M121" s="12" t="n">
        <v>0.165</v>
      </c>
    </row>
    <row r="122">
      <c r="A122" t="inlineStr">
        <is>
          <t>ORD-11413</t>
        </is>
      </c>
      <c r="B122" s="10" t="inlineStr">
        <is>
          <t>2024-02-06</t>
        </is>
      </c>
      <c r="C122" t="inlineStr">
        <is>
          <t>Customer 72</t>
        </is>
      </c>
      <c r="D122" t="inlineStr">
        <is>
          <t>North</t>
        </is>
      </c>
      <c r="E122" t="inlineStr">
        <is>
          <t>Furniture</t>
        </is>
      </c>
      <c r="F122" t="inlineStr">
        <is>
          <t>Table Lamp</t>
        </is>
      </c>
      <c r="G122" t="inlineStr">
        <is>
          <t>Standard Class</t>
        </is>
      </c>
      <c r="H122" t="n">
        <v>11</v>
      </c>
      <c r="I122" s="11" t="n">
        <v>1139.95</v>
      </c>
      <c r="J122" s="12" t="n">
        <v>0.3</v>
      </c>
      <c r="K122" s="11" t="n">
        <v>8777.610000000001</v>
      </c>
      <c r="L122" s="11" t="n">
        <v>417.05</v>
      </c>
      <c r="M122" s="12" t="n">
        <v>0.0475</v>
      </c>
    </row>
    <row r="123">
      <c r="A123" t="inlineStr">
        <is>
          <t>ORD-10242</t>
        </is>
      </c>
      <c r="B123" s="10" t="inlineStr">
        <is>
          <t>2024-02-06</t>
        </is>
      </c>
      <c r="C123" t="inlineStr">
        <is>
          <t>Customer 48</t>
        </is>
      </c>
      <c r="D123" t="inlineStr">
        <is>
          <t>West</t>
        </is>
      </c>
      <c r="E123" t="inlineStr">
        <is>
          <t>Furniture</t>
        </is>
      </c>
      <c r="F123" t="inlineStr">
        <is>
          <t>Chair</t>
        </is>
      </c>
      <c r="G123" t="inlineStr">
        <is>
          <t>Same Day</t>
        </is>
      </c>
      <c r="H123" t="n">
        <v>6</v>
      </c>
      <c r="I123" s="11" t="n">
        <v>1041.57</v>
      </c>
      <c r="J123" s="12" t="n">
        <v>0</v>
      </c>
      <c r="K123" s="11" t="n">
        <v>6249.42</v>
      </c>
      <c r="L123" s="11" t="n">
        <v>1770.96</v>
      </c>
      <c r="M123" s="12" t="n">
        <v>0.2834</v>
      </c>
    </row>
    <row r="124">
      <c r="A124" t="inlineStr">
        <is>
          <t>ORD-10546</t>
        </is>
      </c>
      <c r="B124" s="10" t="inlineStr">
        <is>
          <t>2024-02-07</t>
        </is>
      </c>
      <c r="C124" t="inlineStr">
        <is>
          <t>Customer 74</t>
        </is>
      </c>
      <c r="D124" t="inlineStr">
        <is>
          <t>North</t>
        </is>
      </c>
      <c r="E124" t="inlineStr">
        <is>
          <t>Technology</t>
        </is>
      </c>
      <c r="F124" t="inlineStr">
        <is>
          <t>Laptop</t>
        </is>
      </c>
      <c r="G124" t="inlineStr">
        <is>
          <t>Standard Class</t>
        </is>
      </c>
      <c r="H124" t="n">
        <v>5</v>
      </c>
      <c r="I124" s="11" t="n">
        <v>908.27</v>
      </c>
      <c r="J124" s="12" t="n">
        <v>0</v>
      </c>
      <c r="K124" s="11" t="n">
        <v>4541.35</v>
      </c>
      <c r="L124" s="11" t="n">
        <v>1651.84</v>
      </c>
      <c r="M124" s="12" t="n">
        <v>0.3637</v>
      </c>
    </row>
    <row r="125">
      <c r="A125" t="inlineStr">
        <is>
          <t>ORD-11779</t>
        </is>
      </c>
      <c r="B125" s="10" t="inlineStr">
        <is>
          <t>2024-02-07</t>
        </is>
      </c>
      <c r="C125" t="inlineStr">
        <is>
          <t>Customer 146</t>
        </is>
      </c>
      <c r="D125" t="inlineStr">
        <is>
          <t>West</t>
        </is>
      </c>
      <c r="E125" t="inlineStr">
        <is>
          <t>Technology</t>
        </is>
      </c>
      <c r="F125" t="inlineStr">
        <is>
          <t>Printer</t>
        </is>
      </c>
      <c r="G125" t="inlineStr">
        <is>
          <t>Same Day</t>
        </is>
      </c>
      <c r="H125" t="n">
        <v>2</v>
      </c>
      <c r="I125" s="11" t="n">
        <v>1192.97</v>
      </c>
      <c r="J125" s="12" t="n">
        <v>0.1</v>
      </c>
      <c r="K125" s="11" t="n">
        <v>2147.35</v>
      </c>
      <c r="L125" s="11" t="n">
        <v>605.9400000000001</v>
      </c>
      <c r="M125" s="12" t="n">
        <v>0.2822</v>
      </c>
    </row>
    <row r="126">
      <c r="A126" t="inlineStr">
        <is>
          <t>ORD-10263</t>
        </is>
      </c>
      <c r="B126" s="10" t="inlineStr">
        <is>
          <t>2024-02-07</t>
        </is>
      </c>
      <c r="C126" t="inlineStr">
        <is>
          <t>Customer 126</t>
        </is>
      </c>
      <c r="D126" t="inlineStr">
        <is>
          <t>East</t>
        </is>
      </c>
      <c r="E126" t="inlineStr">
        <is>
          <t>Office Supplies</t>
        </is>
      </c>
      <c r="F126" t="inlineStr">
        <is>
          <t>Stapler</t>
        </is>
      </c>
      <c r="G126" t="inlineStr">
        <is>
          <t>Second Class</t>
        </is>
      </c>
      <c r="H126" t="n">
        <v>8</v>
      </c>
      <c r="I126" s="11" t="n">
        <v>820.6900000000001</v>
      </c>
      <c r="J126" s="12" t="n">
        <v>0</v>
      </c>
      <c r="K126" s="11" t="n">
        <v>6565.52</v>
      </c>
      <c r="L126" s="11" t="n">
        <v>2255.95</v>
      </c>
      <c r="M126" s="12" t="n">
        <v>0.3436</v>
      </c>
    </row>
    <row r="127">
      <c r="A127" t="inlineStr">
        <is>
          <t>ORD-10664</t>
        </is>
      </c>
      <c r="B127" s="10" t="inlineStr">
        <is>
          <t>2024-02-08</t>
        </is>
      </c>
      <c r="C127" t="inlineStr">
        <is>
          <t>Customer 129</t>
        </is>
      </c>
      <c r="D127" t="inlineStr">
        <is>
          <t>East</t>
        </is>
      </c>
      <c r="E127" t="inlineStr">
        <is>
          <t>Technology</t>
        </is>
      </c>
      <c r="F127" t="inlineStr">
        <is>
          <t>Monitor</t>
        </is>
      </c>
      <c r="G127" t="inlineStr">
        <is>
          <t>Same Day</t>
        </is>
      </c>
      <c r="H127" t="n">
        <v>8</v>
      </c>
      <c r="I127" s="11" t="n">
        <v>892.27</v>
      </c>
      <c r="J127" s="12" t="n">
        <v>0</v>
      </c>
      <c r="K127" s="11" t="n">
        <v>7138.16</v>
      </c>
      <c r="L127" s="11" t="n">
        <v>2926.95</v>
      </c>
      <c r="M127" s="12" t="n">
        <v>0.41</v>
      </c>
    </row>
    <row r="128">
      <c r="A128" t="inlineStr">
        <is>
          <t>ORD-10853</t>
        </is>
      </c>
      <c r="B128" s="10" t="inlineStr">
        <is>
          <t>2024-02-08</t>
        </is>
      </c>
      <c r="C128" t="inlineStr">
        <is>
          <t>Customer 122</t>
        </is>
      </c>
      <c r="D128" t="inlineStr">
        <is>
          <t>East</t>
        </is>
      </c>
      <c r="E128" t="inlineStr">
        <is>
          <t>Furniture</t>
        </is>
      </c>
      <c r="F128" t="inlineStr">
        <is>
          <t>Chair</t>
        </is>
      </c>
      <c r="G128" t="inlineStr">
        <is>
          <t>Second Class</t>
        </is>
      </c>
      <c r="H128" t="n">
        <v>7</v>
      </c>
      <c r="I128" s="11" t="n">
        <v>472.78</v>
      </c>
      <c r="J128" s="12" t="n">
        <v>0.1</v>
      </c>
      <c r="K128" s="11" t="n">
        <v>2978.51</v>
      </c>
      <c r="L128" s="11" t="n">
        <v>415.72</v>
      </c>
      <c r="M128" s="12" t="n">
        <v>0.1396</v>
      </c>
    </row>
    <row r="129">
      <c r="A129" t="inlineStr">
        <is>
          <t>ORD-11913</t>
        </is>
      </c>
      <c r="B129" s="10" t="inlineStr">
        <is>
          <t>2024-02-08</t>
        </is>
      </c>
      <c r="C129" t="inlineStr">
        <is>
          <t>Customer 65</t>
        </is>
      </c>
      <c r="D129" t="inlineStr">
        <is>
          <t>South</t>
        </is>
      </c>
      <c r="E129" t="inlineStr">
        <is>
          <t>Technology</t>
        </is>
      </c>
      <c r="F129" t="inlineStr">
        <is>
          <t>Printer</t>
        </is>
      </c>
      <c r="G129" t="inlineStr">
        <is>
          <t>First Class</t>
        </is>
      </c>
      <c r="H129" t="n">
        <v>2</v>
      </c>
      <c r="I129" s="11" t="n">
        <v>220.49</v>
      </c>
      <c r="J129" s="12" t="n">
        <v>0</v>
      </c>
      <c r="K129" s="11" t="n">
        <v>440.98</v>
      </c>
      <c r="L129" s="11" t="n">
        <v>162.55</v>
      </c>
      <c r="M129" s="12" t="n">
        <v>0.3686</v>
      </c>
    </row>
    <row r="130">
      <c r="A130" t="inlineStr">
        <is>
          <t>ORD-10789</t>
        </is>
      </c>
      <c r="B130" s="10" t="inlineStr">
        <is>
          <t>2024-02-08</t>
        </is>
      </c>
      <c r="C130" t="inlineStr">
        <is>
          <t>Customer 21</t>
        </is>
      </c>
      <c r="D130" t="inlineStr">
        <is>
          <t>East</t>
        </is>
      </c>
      <c r="E130" t="inlineStr">
        <is>
          <t>Furniture</t>
        </is>
      </c>
      <c r="F130" t="inlineStr">
        <is>
          <t>Desk</t>
        </is>
      </c>
      <c r="G130" t="inlineStr">
        <is>
          <t>Second Class</t>
        </is>
      </c>
      <c r="H130" t="n">
        <v>2</v>
      </c>
      <c r="I130" s="11" t="n">
        <v>579.21</v>
      </c>
      <c r="J130" s="12" t="n">
        <v>0</v>
      </c>
      <c r="K130" s="11" t="n">
        <v>1158.42</v>
      </c>
      <c r="L130" s="11" t="n">
        <v>523.41</v>
      </c>
      <c r="M130" s="12" t="n">
        <v>0.4518</v>
      </c>
    </row>
    <row r="131">
      <c r="A131" t="inlineStr">
        <is>
          <t>ORD-11748</t>
        </is>
      </c>
      <c r="B131" s="10" t="inlineStr">
        <is>
          <t>2024-02-08</t>
        </is>
      </c>
      <c r="C131" t="inlineStr">
        <is>
          <t>Customer 17</t>
        </is>
      </c>
      <c r="D131" t="inlineStr">
        <is>
          <t>East</t>
        </is>
      </c>
      <c r="E131" t="inlineStr">
        <is>
          <t>Office Supplies</t>
        </is>
      </c>
      <c r="F131" t="inlineStr">
        <is>
          <t>Paper</t>
        </is>
      </c>
      <c r="G131" t="inlineStr">
        <is>
          <t>Second Class</t>
        </is>
      </c>
      <c r="H131" t="n">
        <v>7</v>
      </c>
      <c r="I131" s="11" t="n">
        <v>1078.29</v>
      </c>
      <c r="J131" s="12" t="n">
        <v>0</v>
      </c>
      <c r="K131" s="11" t="n">
        <v>7548.03</v>
      </c>
      <c r="L131" s="11" t="n">
        <v>2472.28</v>
      </c>
      <c r="M131" s="12" t="n">
        <v>0.3275</v>
      </c>
    </row>
    <row r="132">
      <c r="A132" t="inlineStr">
        <is>
          <t>ORD-10053</t>
        </is>
      </c>
      <c r="B132" s="10" t="inlineStr">
        <is>
          <t>2024-02-08</t>
        </is>
      </c>
      <c r="C132" t="inlineStr">
        <is>
          <t>Customer 20</t>
        </is>
      </c>
      <c r="D132" t="inlineStr">
        <is>
          <t>South</t>
        </is>
      </c>
      <c r="E132" t="inlineStr">
        <is>
          <t>Office Supplies</t>
        </is>
      </c>
      <c r="F132" t="inlineStr">
        <is>
          <t>Stapler</t>
        </is>
      </c>
      <c r="G132" t="inlineStr">
        <is>
          <t>Standard Class</t>
        </is>
      </c>
      <c r="H132" t="n">
        <v>7</v>
      </c>
      <c r="I132" s="11" t="n">
        <v>1022.1</v>
      </c>
      <c r="J132" s="12" t="n">
        <v>0</v>
      </c>
      <c r="K132" s="11" t="n">
        <v>7154.7</v>
      </c>
      <c r="L132" s="11" t="n">
        <v>1737.75</v>
      </c>
      <c r="M132" s="12" t="n">
        <v>0.2429</v>
      </c>
    </row>
    <row r="133">
      <c r="A133" t="inlineStr">
        <is>
          <t>ORD-11853</t>
        </is>
      </c>
      <c r="B133" s="10" t="inlineStr">
        <is>
          <t>2024-02-09</t>
        </is>
      </c>
      <c r="C133" t="inlineStr">
        <is>
          <t>Customer 45</t>
        </is>
      </c>
      <c r="D133" t="inlineStr">
        <is>
          <t>North</t>
        </is>
      </c>
      <c r="E133" t="inlineStr">
        <is>
          <t>Office Supplies</t>
        </is>
      </c>
      <c r="F133" t="inlineStr">
        <is>
          <t>Stapler</t>
        </is>
      </c>
      <c r="G133" t="inlineStr">
        <is>
          <t>Same Day</t>
        </is>
      </c>
      <c r="H133" t="n">
        <v>9</v>
      </c>
      <c r="I133" s="11" t="n">
        <v>464.39</v>
      </c>
      <c r="J133" s="12" t="n">
        <v>0</v>
      </c>
      <c r="K133" s="11" t="n">
        <v>4179.51</v>
      </c>
      <c r="L133" s="11" t="n">
        <v>835.58</v>
      </c>
      <c r="M133" s="12" t="n">
        <v>0.1999</v>
      </c>
    </row>
    <row r="134">
      <c r="A134" t="inlineStr">
        <is>
          <t>ORD-11892</t>
        </is>
      </c>
      <c r="B134" s="10" t="inlineStr">
        <is>
          <t>2024-02-09</t>
        </is>
      </c>
      <c r="C134" t="inlineStr">
        <is>
          <t>Customer 137</t>
        </is>
      </c>
      <c r="D134" t="inlineStr">
        <is>
          <t>East</t>
        </is>
      </c>
      <c r="E134" t="inlineStr">
        <is>
          <t>Furniture</t>
        </is>
      </c>
      <c r="F134" t="inlineStr">
        <is>
          <t>Table Lamp</t>
        </is>
      </c>
      <c r="G134" t="inlineStr">
        <is>
          <t>Second Class</t>
        </is>
      </c>
      <c r="H134" t="n">
        <v>3</v>
      </c>
      <c r="I134" s="11" t="n">
        <v>90.91</v>
      </c>
      <c r="J134" s="12" t="n">
        <v>0</v>
      </c>
      <c r="K134" s="11" t="n">
        <v>272.73</v>
      </c>
      <c r="L134" s="11" t="n">
        <v>115.03</v>
      </c>
      <c r="M134" s="12" t="n">
        <v>0.4218</v>
      </c>
    </row>
    <row r="135">
      <c r="A135" t="inlineStr">
        <is>
          <t>ORD-11027</t>
        </is>
      </c>
      <c r="B135" s="10" t="inlineStr">
        <is>
          <t>2024-02-09</t>
        </is>
      </c>
      <c r="C135" t="inlineStr">
        <is>
          <t>Customer 112</t>
        </is>
      </c>
      <c r="D135" t="inlineStr">
        <is>
          <t>West</t>
        </is>
      </c>
      <c r="E135" t="inlineStr">
        <is>
          <t>Technology</t>
        </is>
      </c>
      <c r="F135" t="inlineStr">
        <is>
          <t>Laptop</t>
        </is>
      </c>
      <c r="G135" t="inlineStr">
        <is>
          <t>First Class</t>
        </is>
      </c>
      <c r="H135" t="n">
        <v>4</v>
      </c>
      <c r="I135" s="11" t="n">
        <v>701.67</v>
      </c>
      <c r="J135" s="12" t="n">
        <v>0</v>
      </c>
      <c r="K135" s="11" t="n">
        <v>2806.68</v>
      </c>
      <c r="L135" s="11" t="n">
        <v>443.49</v>
      </c>
      <c r="M135" s="12" t="n">
        <v>0.158</v>
      </c>
    </row>
    <row r="136">
      <c r="A136" t="inlineStr">
        <is>
          <t>ORD-11717</t>
        </is>
      </c>
      <c r="B136" s="10" t="inlineStr">
        <is>
          <t>2024-02-09</t>
        </is>
      </c>
      <c r="C136" t="inlineStr">
        <is>
          <t>Customer 20</t>
        </is>
      </c>
      <c r="D136" t="inlineStr">
        <is>
          <t>South</t>
        </is>
      </c>
      <c r="E136" t="inlineStr">
        <is>
          <t>Technology</t>
        </is>
      </c>
      <c r="F136" t="inlineStr">
        <is>
          <t>Wireless Mouse</t>
        </is>
      </c>
      <c r="G136" t="inlineStr">
        <is>
          <t>First Class</t>
        </is>
      </c>
      <c r="H136" t="n">
        <v>1</v>
      </c>
      <c r="I136" s="11" t="n">
        <v>279.06</v>
      </c>
      <c r="J136" s="12" t="n">
        <v>0</v>
      </c>
      <c r="K136" s="11" t="n">
        <v>279.06</v>
      </c>
      <c r="L136" s="11" t="n">
        <v>91.90000000000001</v>
      </c>
      <c r="M136" s="12" t="n">
        <v>0.3293</v>
      </c>
    </row>
    <row r="137">
      <c r="A137" t="inlineStr">
        <is>
          <t>ORD-11591</t>
        </is>
      </c>
      <c r="B137" s="10" t="inlineStr">
        <is>
          <t>2024-02-10</t>
        </is>
      </c>
      <c r="C137" t="inlineStr">
        <is>
          <t>Customer 187</t>
        </is>
      </c>
      <c r="D137" t="inlineStr">
        <is>
          <t>North</t>
        </is>
      </c>
      <c r="E137" t="inlineStr">
        <is>
          <t>Office Supplies</t>
        </is>
      </c>
      <c r="F137" t="inlineStr">
        <is>
          <t>Paper</t>
        </is>
      </c>
      <c r="G137" t="inlineStr">
        <is>
          <t>First Class</t>
        </is>
      </c>
      <c r="H137" t="n">
        <v>3</v>
      </c>
      <c r="I137" s="11" t="n">
        <v>1095.87</v>
      </c>
      <c r="J137" s="12" t="n">
        <v>0.2</v>
      </c>
      <c r="K137" s="11" t="n">
        <v>2630.09</v>
      </c>
      <c r="L137" s="11" t="n">
        <v>501.85</v>
      </c>
      <c r="M137" s="12" t="n">
        <v>0.1908</v>
      </c>
    </row>
    <row r="138">
      <c r="A138" t="inlineStr">
        <is>
          <t>ORD-10826</t>
        </is>
      </c>
      <c r="B138" s="10" t="inlineStr">
        <is>
          <t>2024-02-10</t>
        </is>
      </c>
      <c r="C138" t="inlineStr">
        <is>
          <t>Customer 105</t>
        </is>
      </c>
      <c r="D138" t="inlineStr">
        <is>
          <t>West</t>
        </is>
      </c>
      <c r="E138" t="inlineStr">
        <is>
          <t>Office Supplies</t>
        </is>
      </c>
      <c r="F138" t="inlineStr">
        <is>
          <t>Stapler</t>
        </is>
      </c>
      <c r="G138" t="inlineStr">
        <is>
          <t>First Class</t>
        </is>
      </c>
      <c r="H138" t="n">
        <v>4</v>
      </c>
      <c r="I138" s="11" t="n">
        <v>972.67</v>
      </c>
      <c r="J138" s="12" t="n">
        <v>0.1</v>
      </c>
      <c r="K138" s="11" t="n">
        <v>3501.61</v>
      </c>
      <c r="L138" s="11" t="n">
        <v>1363.73</v>
      </c>
      <c r="M138" s="12" t="n">
        <v>0.3895</v>
      </c>
    </row>
    <row r="139">
      <c r="A139" t="inlineStr">
        <is>
          <t>ORD-11864</t>
        </is>
      </c>
      <c r="B139" s="10" t="inlineStr">
        <is>
          <t>2024-02-10</t>
        </is>
      </c>
      <c r="C139" t="inlineStr">
        <is>
          <t>Customer 75</t>
        </is>
      </c>
      <c r="D139" t="inlineStr">
        <is>
          <t>East</t>
        </is>
      </c>
      <c r="E139" t="inlineStr">
        <is>
          <t>Office Supplies</t>
        </is>
      </c>
      <c r="F139" t="inlineStr">
        <is>
          <t>Pens (Box)</t>
        </is>
      </c>
      <c r="G139" t="inlineStr">
        <is>
          <t>Standard Class</t>
        </is>
      </c>
      <c r="H139" t="n">
        <v>6</v>
      </c>
      <c r="I139" s="11" t="n">
        <v>811.25</v>
      </c>
      <c r="J139" s="12" t="n">
        <v>0.15</v>
      </c>
      <c r="K139" s="11" t="n">
        <v>4137.38</v>
      </c>
      <c r="L139" s="11" t="n">
        <v>856.2</v>
      </c>
      <c r="M139" s="12" t="n">
        <v>0.2069</v>
      </c>
    </row>
    <row r="140">
      <c r="A140" t="inlineStr">
        <is>
          <t>ORD-10137</t>
        </is>
      </c>
      <c r="B140" s="10" t="inlineStr">
        <is>
          <t>2024-02-11</t>
        </is>
      </c>
      <c r="C140" t="inlineStr">
        <is>
          <t>Customer 191</t>
        </is>
      </c>
      <c r="D140" t="inlineStr">
        <is>
          <t>East</t>
        </is>
      </c>
      <c r="E140" t="inlineStr">
        <is>
          <t>Furniture</t>
        </is>
      </c>
      <c r="F140" t="inlineStr">
        <is>
          <t>Table Lamp</t>
        </is>
      </c>
      <c r="G140" t="inlineStr">
        <is>
          <t>First Class</t>
        </is>
      </c>
      <c r="H140" t="n">
        <v>11</v>
      </c>
      <c r="I140" s="11" t="n">
        <v>412.96</v>
      </c>
      <c r="J140" s="12" t="n">
        <v>0</v>
      </c>
      <c r="K140" s="11" t="n">
        <v>4542.56</v>
      </c>
      <c r="L140" s="11" t="n">
        <v>1726.89</v>
      </c>
      <c r="M140" s="12" t="n">
        <v>0.3802</v>
      </c>
    </row>
    <row r="141">
      <c r="A141" t="inlineStr">
        <is>
          <t>ORD-10468</t>
        </is>
      </c>
      <c r="B141" s="10" t="inlineStr">
        <is>
          <t>2024-02-11</t>
        </is>
      </c>
      <c r="C141" t="inlineStr">
        <is>
          <t>Customer 95</t>
        </is>
      </c>
      <c r="D141" t="inlineStr">
        <is>
          <t>West</t>
        </is>
      </c>
      <c r="E141" t="inlineStr">
        <is>
          <t>Technology</t>
        </is>
      </c>
      <c r="F141" t="inlineStr">
        <is>
          <t>Wireless Mouse</t>
        </is>
      </c>
      <c r="G141" t="inlineStr">
        <is>
          <t>Standard Class</t>
        </is>
      </c>
      <c r="H141" t="n">
        <v>7</v>
      </c>
      <c r="I141" s="11" t="n">
        <v>933.4</v>
      </c>
      <c r="J141" s="12" t="n">
        <v>0</v>
      </c>
      <c r="K141" s="11" t="n">
        <v>6533.8</v>
      </c>
      <c r="L141" s="11" t="n">
        <v>2573.22</v>
      </c>
      <c r="M141" s="12" t="n">
        <v>0.3938</v>
      </c>
    </row>
    <row r="142">
      <c r="A142" t="inlineStr">
        <is>
          <t>ORD-10243</t>
        </is>
      </c>
      <c r="B142" s="10" t="inlineStr">
        <is>
          <t>2024-02-11</t>
        </is>
      </c>
      <c r="C142" t="inlineStr">
        <is>
          <t>Customer 63</t>
        </is>
      </c>
      <c r="D142" t="inlineStr">
        <is>
          <t>South</t>
        </is>
      </c>
      <c r="E142" t="inlineStr">
        <is>
          <t>Furniture</t>
        </is>
      </c>
      <c r="F142" t="inlineStr">
        <is>
          <t>Chair</t>
        </is>
      </c>
      <c r="G142" t="inlineStr">
        <is>
          <t>Standard Class</t>
        </is>
      </c>
      <c r="H142" t="n">
        <v>9</v>
      </c>
      <c r="I142" s="11" t="n">
        <v>1126.52</v>
      </c>
      <c r="J142" s="12" t="n">
        <v>0.1</v>
      </c>
      <c r="K142" s="11" t="n">
        <v>9124.809999999999</v>
      </c>
      <c r="L142" s="11" t="n">
        <v>2489.77</v>
      </c>
      <c r="M142" s="12" t="n">
        <v>0.2729</v>
      </c>
    </row>
    <row r="143">
      <c r="A143" t="inlineStr">
        <is>
          <t>ORD-11493</t>
        </is>
      </c>
      <c r="B143" s="10" t="inlineStr">
        <is>
          <t>2024-02-11</t>
        </is>
      </c>
      <c r="C143" t="inlineStr">
        <is>
          <t>Customer 64</t>
        </is>
      </c>
      <c r="D143" t="inlineStr">
        <is>
          <t>West</t>
        </is>
      </c>
      <c r="E143" t="inlineStr">
        <is>
          <t>Furniture</t>
        </is>
      </c>
      <c r="F143" t="inlineStr">
        <is>
          <t>Chair</t>
        </is>
      </c>
      <c r="G143" t="inlineStr">
        <is>
          <t>Second Class</t>
        </is>
      </c>
      <c r="H143" t="n">
        <v>5</v>
      </c>
      <c r="I143" s="11" t="n">
        <v>63.05</v>
      </c>
      <c r="J143" s="12" t="n">
        <v>0</v>
      </c>
      <c r="K143" s="11" t="n">
        <v>315.25</v>
      </c>
      <c r="L143" s="11" t="n">
        <v>81.67</v>
      </c>
      <c r="M143" s="12" t="n">
        <v>0.2591</v>
      </c>
    </row>
    <row r="144">
      <c r="A144" t="inlineStr">
        <is>
          <t>ORD-11745</t>
        </is>
      </c>
      <c r="B144" s="10" t="inlineStr">
        <is>
          <t>2024-02-12</t>
        </is>
      </c>
      <c r="C144" t="inlineStr">
        <is>
          <t>Customer 26</t>
        </is>
      </c>
      <c r="D144" t="inlineStr">
        <is>
          <t>East</t>
        </is>
      </c>
      <c r="E144" t="inlineStr">
        <is>
          <t>Technology</t>
        </is>
      </c>
      <c r="F144" t="inlineStr">
        <is>
          <t>Monitor</t>
        </is>
      </c>
      <c r="G144" t="inlineStr">
        <is>
          <t>First Class</t>
        </is>
      </c>
      <c r="H144" t="n">
        <v>3</v>
      </c>
      <c r="I144" s="11" t="n">
        <v>907.5</v>
      </c>
      <c r="J144" s="12" t="n">
        <v>0.15</v>
      </c>
      <c r="K144" s="11" t="n">
        <v>2314.12</v>
      </c>
      <c r="L144" s="11" t="n">
        <v>646.76</v>
      </c>
      <c r="M144" s="12" t="n">
        <v>0.2795</v>
      </c>
    </row>
    <row r="145">
      <c r="A145" t="inlineStr">
        <is>
          <t>ORD-11571</t>
        </is>
      </c>
      <c r="B145" s="10" t="inlineStr">
        <is>
          <t>2024-02-12</t>
        </is>
      </c>
      <c r="C145" t="inlineStr">
        <is>
          <t>Customer 133</t>
        </is>
      </c>
      <c r="D145" t="inlineStr">
        <is>
          <t>North</t>
        </is>
      </c>
      <c r="E145" t="inlineStr">
        <is>
          <t>Technology</t>
        </is>
      </c>
      <c r="F145" t="inlineStr">
        <is>
          <t>Laptop</t>
        </is>
      </c>
      <c r="G145" t="inlineStr">
        <is>
          <t>Second Class</t>
        </is>
      </c>
      <c r="H145" t="n">
        <v>6</v>
      </c>
      <c r="I145" s="11" t="n">
        <v>152</v>
      </c>
      <c r="J145" s="12" t="n">
        <v>0.1</v>
      </c>
      <c r="K145" s="11" t="n">
        <v>820.8</v>
      </c>
      <c r="L145" s="11" t="n">
        <v>322.63</v>
      </c>
      <c r="M145" s="12" t="n">
        <v>0.3931</v>
      </c>
    </row>
    <row r="146">
      <c r="A146" t="inlineStr">
        <is>
          <t>ORD-10109</t>
        </is>
      </c>
      <c r="B146" s="10" t="inlineStr">
        <is>
          <t>2024-02-13</t>
        </is>
      </c>
      <c r="C146" t="inlineStr">
        <is>
          <t>Customer 89</t>
        </is>
      </c>
      <c r="D146" t="inlineStr">
        <is>
          <t>West</t>
        </is>
      </c>
      <c r="E146" t="inlineStr">
        <is>
          <t>Office Supplies</t>
        </is>
      </c>
      <c r="F146" t="inlineStr">
        <is>
          <t>Paper</t>
        </is>
      </c>
      <c r="G146" t="inlineStr">
        <is>
          <t>Same Day</t>
        </is>
      </c>
      <c r="H146" t="n">
        <v>7</v>
      </c>
      <c r="I146" s="11" t="n">
        <v>155.6</v>
      </c>
      <c r="J146" s="12" t="n">
        <v>0</v>
      </c>
      <c r="K146" s="11" t="n">
        <v>1089.2</v>
      </c>
      <c r="L146" s="11" t="n">
        <v>280.38</v>
      </c>
      <c r="M146" s="12" t="n">
        <v>0.2574</v>
      </c>
    </row>
    <row r="147">
      <c r="A147" t="inlineStr">
        <is>
          <t>ORD-10399</t>
        </is>
      </c>
      <c r="B147" s="10" t="inlineStr">
        <is>
          <t>2024-02-14</t>
        </is>
      </c>
      <c r="C147" t="inlineStr">
        <is>
          <t>Customer 14</t>
        </is>
      </c>
      <c r="D147" t="inlineStr">
        <is>
          <t>West</t>
        </is>
      </c>
      <c r="E147" t="inlineStr">
        <is>
          <t>Office Supplies</t>
        </is>
      </c>
      <c r="F147" t="inlineStr">
        <is>
          <t>Paper</t>
        </is>
      </c>
      <c r="G147" t="inlineStr">
        <is>
          <t>Standard Class</t>
        </is>
      </c>
      <c r="H147" t="n">
        <v>3</v>
      </c>
      <c r="I147" s="11" t="n">
        <v>615.8200000000001</v>
      </c>
      <c r="J147" s="12" t="n">
        <v>0.2</v>
      </c>
      <c r="K147" s="11" t="n">
        <v>1477.97</v>
      </c>
      <c r="L147" s="11" t="n">
        <v>307.68</v>
      </c>
      <c r="M147" s="12" t="n">
        <v>0.2082</v>
      </c>
    </row>
    <row r="148">
      <c r="A148" t="inlineStr">
        <is>
          <t>ORD-10572</t>
        </is>
      </c>
      <c r="B148" s="10" t="inlineStr">
        <is>
          <t>2024-02-14</t>
        </is>
      </c>
      <c r="C148" t="inlineStr">
        <is>
          <t>Customer 24</t>
        </is>
      </c>
      <c r="D148" t="inlineStr">
        <is>
          <t>West</t>
        </is>
      </c>
      <c r="E148" t="inlineStr">
        <is>
          <t>Office Supplies</t>
        </is>
      </c>
      <c r="F148" t="inlineStr">
        <is>
          <t>Stapler</t>
        </is>
      </c>
      <c r="G148" t="inlineStr">
        <is>
          <t>Second Class</t>
        </is>
      </c>
      <c r="H148" t="n">
        <v>3</v>
      </c>
      <c r="I148" s="11" t="n">
        <v>519.91</v>
      </c>
      <c r="J148" s="12" t="n">
        <v>0</v>
      </c>
      <c r="K148" s="11" t="n">
        <v>1559.73</v>
      </c>
      <c r="L148" s="11" t="n">
        <v>546.3200000000001</v>
      </c>
      <c r="M148" s="12" t="n">
        <v>0.3503</v>
      </c>
    </row>
    <row r="149">
      <c r="A149" t="inlineStr">
        <is>
          <t>ORD-11685</t>
        </is>
      </c>
      <c r="B149" s="10" t="inlineStr">
        <is>
          <t>2024-02-14</t>
        </is>
      </c>
      <c r="C149" t="inlineStr">
        <is>
          <t>Customer 199</t>
        </is>
      </c>
      <c r="D149" t="inlineStr">
        <is>
          <t>South</t>
        </is>
      </c>
      <c r="E149" t="inlineStr">
        <is>
          <t>Office Supplies</t>
        </is>
      </c>
      <c r="F149" t="inlineStr">
        <is>
          <t>Stapler</t>
        </is>
      </c>
      <c r="G149" t="inlineStr">
        <is>
          <t>Standard Class</t>
        </is>
      </c>
      <c r="H149" t="n">
        <v>5</v>
      </c>
      <c r="I149" s="11" t="n">
        <v>446.86</v>
      </c>
      <c r="J149" s="12" t="n">
        <v>0</v>
      </c>
      <c r="K149" s="11" t="n">
        <v>2234.3</v>
      </c>
      <c r="L149" s="11" t="n">
        <v>1012.82</v>
      </c>
      <c r="M149" s="12" t="n">
        <v>0.4533</v>
      </c>
    </row>
    <row r="150">
      <c r="A150" t="inlineStr">
        <is>
          <t>ORD-10494</t>
        </is>
      </c>
      <c r="B150" s="10" t="inlineStr">
        <is>
          <t>2024-02-15</t>
        </is>
      </c>
      <c r="C150" t="inlineStr">
        <is>
          <t>Customer 89</t>
        </is>
      </c>
      <c r="D150" t="inlineStr">
        <is>
          <t>West</t>
        </is>
      </c>
      <c r="E150" t="inlineStr">
        <is>
          <t>Technology</t>
        </is>
      </c>
      <c r="F150" t="inlineStr">
        <is>
          <t>Laptop</t>
        </is>
      </c>
      <c r="G150" t="inlineStr">
        <is>
          <t>Same Day</t>
        </is>
      </c>
      <c r="H150" t="n">
        <v>11</v>
      </c>
      <c r="I150" s="11" t="n">
        <v>35.47</v>
      </c>
      <c r="J150" s="12" t="n">
        <v>0</v>
      </c>
      <c r="K150" s="11" t="n">
        <v>390.17</v>
      </c>
      <c r="L150" s="11" t="n">
        <v>185.31</v>
      </c>
      <c r="M150" s="12" t="n">
        <v>0.4749</v>
      </c>
    </row>
    <row r="151">
      <c r="A151" t="inlineStr">
        <is>
          <t>ORD-10551</t>
        </is>
      </c>
      <c r="B151" s="10" t="inlineStr">
        <is>
          <t>2024-02-15</t>
        </is>
      </c>
      <c r="C151" t="inlineStr">
        <is>
          <t>Customer 47</t>
        </is>
      </c>
      <c r="D151" t="inlineStr">
        <is>
          <t>South</t>
        </is>
      </c>
      <c r="E151" t="inlineStr">
        <is>
          <t>Office Supplies</t>
        </is>
      </c>
      <c r="F151" t="inlineStr">
        <is>
          <t>Binder</t>
        </is>
      </c>
      <c r="G151" t="inlineStr">
        <is>
          <t>Standard Class</t>
        </is>
      </c>
      <c r="H151" t="n">
        <v>4</v>
      </c>
      <c r="I151" s="11" t="n">
        <v>687.96</v>
      </c>
      <c r="J151" s="12" t="n">
        <v>0</v>
      </c>
      <c r="K151" s="11" t="n">
        <v>2751.84</v>
      </c>
      <c r="L151" s="11" t="n">
        <v>1324.55</v>
      </c>
      <c r="M151" s="12" t="n">
        <v>0.4813</v>
      </c>
    </row>
    <row r="152">
      <c r="A152" t="inlineStr">
        <is>
          <t>ORD-11072</t>
        </is>
      </c>
      <c r="B152" s="10" t="inlineStr">
        <is>
          <t>2024-02-15</t>
        </is>
      </c>
      <c r="C152" t="inlineStr">
        <is>
          <t>Customer 84</t>
        </is>
      </c>
      <c r="D152" t="inlineStr">
        <is>
          <t>West</t>
        </is>
      </c>
      <c r="E152" t="inlineStr">
        <is>
          <t>Furniture</t>
        </is>
      </c>
      <c r="F152" t="inlineStr">
        <is>
          <t>Desk</t>
        </is>
      </c>
      <c r="G152" t="inlineStr">
        <is>
          <t>Same Day</t>
        </is>
      </c>
      <c r="H152" t="n">
        <v>2</v>
      </c>
      <c r="I152" s="11" t="n">
        <v>455.24</v>
      </c>
      <c r="J152" s="12" t="n">
        <v>0</v>
      </c>
      <c r="K152" s="11" t="n">
        <v>773.91</v>
      </c>
      <c r="L152" s="11" t="n">
        <v>89.33</v>
      </c>
      <c r="M152" s="12" t="n">
        <v>0.1154</v>
      </c>
    </row>
    <row r="153">
      <c r="A153" t="inlineStr">
        <is>
          <t>ORD-10179</t>
        </is>
      </c>
      <c r="B153" s="10" t="inlineStr">
        <is>
          <t>2024-02-15</t>
        </is>
      </c>
      <c r="C153" t="inlineStr">
        <is>
          <t>Customer 155</t>
        </is>
      </c>
      <c r="D153" t="inlineStr">
        <is>
          <t>South</t>
        </is>
      </c>
      <c r="E153" t="inlineStr">
        <is>
          <t>Office Supplies</t>
        </is>
      </c>
      <c r="F153" t="inlineStr">
        <is>
          <t>Stapler</t>
        </is>
      </c>
      <c r="G153" t="inlineStr">
        <is>
          <t>Second Class</t>
        </is>
      </c>
      <c r="H153" t="n">
        <v>6</v>
      </c>
      <c r="I153" s="11" t="n">
        <v>1196.03</v>
      </c>
      <c r="J153" s="12" t="n">
        <v>0</v>
      </c>
      <c r="K153" s="11" t="n">
        <v>7176.18</v>
      </c>
      <c r="L153" s="11" t="n">
        <v>2580.25</v>
      </c>
      <c r="M153" s="12" t="n">
        <v>0.3596</v>
      </c>
    </row>
    <row r="154">
      <c r="A154" t="inlineStr">
        <is>
          <t>ORD-10457</t>
        </is>
      </c>
      <c r="B154" s="10" t="inlineStr">
        <is>
          <t>2024-02-17</t>
        </is>
      </c>
      <c r="C154" t="inlineStr">
        <is>
          <t>Customer 63</t>
        </is>
      </c>
      <c r="D154" t="inlineStr">
        <is>
          <t>South</t>
        </is>
      </c>
      <c r="E154" t="inlineStr">
        <is>
          <t>Technology</t>
        </is>
      </c>
      <c r="F154" t="inlineStr">
        <is>
          <t>Laptop</t>
        </is>
      </c>
      <c r="G154" t="inlineStr">
        <is>
          <t>Second Class</t>
        </is>
      </c>
      <c r="H154" t="n">
        <v>5</v>
      </c>
      <c r="I154" s="11" t="n">
        <v>494.59</v>
      </c>
      <c r="J154" s="12" t="n">
        <v>0</v>
      </c>
      <c r="K154" s="11" t="n">
        <v>2472.95</v>
      </c>
      <c r="L154" s="11" t="n">
        <v>603.23</v>
      </c>
      <c r="M154" s="12" t="n">
        <v>0.2439</v>
      </c>
    </row>
    <row r="155">
      <c r="A155" t="inlineStr">
        <is>
          <t>ORD-10741</t>
        </is>
      </c>
      <c r="B155" s="10" t="inlineStr">
        <is>
          <t>2024-02-17</t>
        </is>
      </c>
      <c r="C155" t="inlineStr">
        <is>
          <t>Customer 150</t>
        </is>
      </c>
      <c r="D155" t="inlineStr">
        <is>
          <t>North</t>
        </is>
      </c>
      <c r="E155" t="inlineStr">
        <is>
          <t>Furniture</t>
        </is>
      </c>
      <c r="F155" t="inlineStr">
        <is>
          <t>Chair</t>
        </is>
      </c>
      <c r="G155" t="inlineStr">
        <is>
          <t>Second Class</t>
        </is>
      </c>
      <c r="H155" t="n">
        <v>6</v>
      </c>
      <c r="I155" s="11" t="n">
        <v>467.93</v>
      </c>
      <c r="J155" s="12" t="n">
        <v>0.2</v>
      </c>
      <c r="K155" s="11" t="n">
        <v>2246.06</v>
      </c>
      <c r="L155" s="11" t="n">
        <v>523.91</v>
      </c>
      <c r="M155" s="12" t="n">
        <v>0.2333</v>
      </c>
    </row>
    <row r="156">
      <c r="A156" t="inlineStr">
        <is>
          <t>ORD-11387</t>
        </is>
      </c>
      <c r="B156" s="10" t="inlineStr">
        <is>
          <t>2024-02-17</t>
        </is>
      </c>
      <c r="C156" t="inlineStr">
        <is>
          <t>Customer 43</t>
        </is>
      </c>
      <c r="D156" t="inlineStr">
        <is>
          <t>East</t>
        </is>
      </c>
      <c r="E156" t="inlineStr">
        <is>
          <t>Technology</t>
        </is>
      </c>
      <c r="F156" t="inlineStr">
        <is>
          <t>Printer</t>
        </is>
      </c>
      <c r="G156" t="inlineStr">
        <is>
          <t>Second Class</t>
        </is>
      </c>
      <c r="H156" t="n">
        <v>11</v>
      </c>
      <c r="I156" s="11" t="n">
        <v>440.92</v>
      </c>
      <c r="J156" s="12" t="n">
        <v>0</v>
      </c>
      <c r="K156" s="11" t="n">
        <v>4850.12</v>
      </c>
      <c r="L156" s="11" t="n">
        <v>1619.53</v>
      </c>
      <c r="M156" s="12" t="n">
        <v>0.3339</v>
      </c>
    </row>
    <row r="157">
      <c r="A157" t="inlineStr">
        <is>
          <t>ORD-11958</t>
        </is>
      </c>
      <c r="B157" s="10" t="inlineStr">
        <is>
          <t>2024-02-17</t>
        </is>
      </c>
      <c r="C157" t="inlineStr">
        <is>
          <t>Customer 85</t>
        </is>
      </c>
      <c r="D157" t="inlineStr">
        <is>
          <t>East</t>
        </is>
      </c>
      <c r="E157" t="inlineStr">
        <is>
          <t>Office Supplies</t>
        </is>
      </c>
      <c r="F157" t="inlineStr">
        <is>
          <t>Binder</t>
        </is>
      </c>
      <c r="G157" t="inlineStr">
        <is>
          <t>Same Day</t>
        </is>
      </c>
      <c r="H157" t="n">
        <v>8</v>
      </c>
      <c r="I157" s="11" t="n">
        <v>772.91</v>
      </c>
      <c r="J157" s="12" t="n">
        <v>0.1</v>
      </c>
      <c r="K157" s="11" t="n">
        <v>5564.95</v>
      </c>
      <c r="L157" s="11" t="n">
        <v>658.67</v>
      </c>
      <c r="M157" s="12" t="n">
        <v>0.1184</v>
      </c>
    </row>
    <row r="158">
      <c r="A158" t="inlineStr">
        <is>
          <t>ORD-11706</t>
        </is>
      </c>
      <c r="B158" s="10" t="inlineStr">
        <is>
          <t>2024-02-18</t>
        </is>
      </c>
      <c r="C158" t="inlineStr">
        <is>
          <t>Customer 111</t>
        </is>
      </c>
      <c r="D158" t="inlineStr">
        <is>
          <t>South</t>
        </is>
      </c>
      <c r="E158" t="inlineStr">
        <is>
          <t>Furniture</t>
        </is>
      </c>
      <c r="F158" t="inlineStr">
        <is>
          <t>Table Lamp</t>
        </is>
      </c>
      <c r="G158" t="inlineStr">
        <is>
          <t>Standard Class</t>
        </is>
      </c>
      <c r="H158" t="n">
        <v>6</v>
      </c>
      <c r="I158" s="11" t="n">
        <v>480.1</v>
      </c>
      <c r="J158" s="12" t="n">
        <v>0.2</v>
      </c>
      <c r="K158" s="11" t="n">
        <v>2304.48</v>
      </c>
      <c r="L158" s="11" t="n">
        <v>358.38</v>
      </c>
      <c r="M158" s="12" t="n">
        <v>0.1555</v>
      </c>
    </row>
    <row r="159">
      <c r="A159" t="inlineStr">
        <is>
          <t>ORD-11866</t>
        </is>
      </c>
      <c r="B159" s="10" t="inlineStr">
        <is>
          <t>2024-02-18</t>
        </is>
      </c>
      <c r="C159" t="inlineStr">
        <is>
          <t>Customer 146</t>
        </is>
      </c>
      <c r="D159" t="inlineStr">
        <is>
          <t>West</t>
        </is>
      </c>
      <c r="E159" t="inlineStr">
        <is>
          <t>Furniture</t>
        </is>
      </c>
      <c r="F159" t="inlineStr">
        <is>
          <t>Bookcase</t>
        </is>
      </c>
      <c r="G159" t="inlineStr">
        <is>
          <t>Same Day</t>
        </is>
      </c>
      <c r="H159" t="n">
        <v>7</v>
      </c>
      <c r="I159" s="11" t="n">
        <v>271.01</v>
      </c>
      <c r="J159" s="12" t="n">
        <v>0</v>
      </c>
      <c r="K159" s="11" t="n">
        <v>1897.07</v>
      </c>
      <c r="L159" s="11" t="n">
        <v>610.04</v>
      </c>
      <c r="M159" s="12" t="n">
        <v>0.3216</v>
      </c>
    </row>
    <row r="160">
      <c r="A160" t="inlineStr">
        <is>
          <t>ORD-10397</t>
        </is>
      </c>
      <c r="B160" s="10" t="inlineStr">
        <is>
          <t>2024-02-18</t>
        </is>
      </c>
      <c r="C160" t="inlineStr">
        <is>
          <t>Customer 41</t>
        </is>
      </c>
      <c r="D160" t="inlineStr">
        <is>
          <t>North</t>
        </is>
      </c>
      <c r="E160" t="inlineStr">
        <is>
          <t>Technology</t>
        </is>
      </c>
      <c r="F160" t="inlineStr">
        <is>
          <t>Laptop</t>
        </is>
      </c>
      <c r="G160" t="inlineStr">
        <is>
          <t>First Class</t>
        </is>
      </c>
      <c r="H160" t="n">
        <v>6</v>
      </c>
      <c r="I160" s="11" t="n">
        <v>569.21</v>
      </c>
      <c r="J160" s="12" t="n">
        <v>0.15</v>
      </c>
      <c r="K160" s="11" t="n">
        <v>2902.97</v>
      </c>
      <c r="L160" s="11" t="n">
        <v>304.04</v>
      </c>
      <c r="M160" s="12" t="n">
        <v>0.1047</v>
      </c>
    </row>
    <row r="161">
      <c r="A161" t="inlineStr">
        <is>
          <t>ORD-10985</t>
        </is>
      </c>
      <c r="B161" s="10" t="inlineStr">
        <is>
          <t>2024-02-19</t>
        </is>
      </c>
      <c r="C161" t="inlineStr">
        <is>
          <t>Customer 176</t>
        </is>
      </c>
      <c r="D161" t="inlineStr">
        <is>
          <t>South</t>
        </is>
      </c>
      <c r="E161" t="inlineStr">
        <is>
          <t>Technology</t>
        </is>
      </c>
      <c r="F161" t="inlineStr">
        <is>
          <t>Monitor</t>
        </is>
      </c>
      <c r="G161" t="inlineStr">
        <is>
          <t>Second Class</t>
        </is>
      </c>
      <c r="H161" t="n">
        <v>6</v>
      </c>
      <c r="I161" s="11" t="n">
        <v>452.04</v>
      </c>
      <c r="J161" s="12" t="n">
        <v>0</v>
      </c>
      <c r="K161" s="11" t="n">
        <v>2712.24</v>
      </c>
      <c r="L161" s="11" t="n">
        <v>487.67</v>
      </c>
      <c r="M161" s="12" t="n">
        <v>0.1798</v>
      </c>
    </row>
    <row r="162">
      <c r="A162" t="inlineStr">
        <is>
          <t>ORD-10328</t>
        </is>
      </c>
      <c r="B162" s="10" t="inlineStr">
        <is>
          <t>2024-02-19</t>
        </is>
      </c>
      <c r="C162" t="inlineStr">
        <is>
          <t>Customer 33</t>
        </is>
      </c>
      <c r="D162" t="inlineStr">
        <is>
          <t>North</t>
        </is>
      </c>
      <c r="E162" t="inlineStr">
        <is>
          <t>Technology</t>
        </is>
      </c>
      <c r="F162" t="inlineStr">
        <is>
          <t>Printer</t>
        </is>
      </c>
      <c r="G162" t="inlineStr">
        <is>
          <t>First Class</t>
        </is>
      </c>
      <c r="H162" t="n">
        <v>7</v>
      </c>
      <c r="I162" s="11" t="n">
        <v>51.31</v>
      </c>
      <c r="J162" s="12" t="n">
        <v>0.1</v>
      </c>
      <c r="K162" s="11" t="n">
        <v>323.25</v>
      </c>
      <c r="L162" s="11" t="n">
        <v>101.05</v>
      </c>
      <c r="M162" s="12" t="n">
        <v>0.3126</v>
      </c>
    </row>
    <row r="163">
      <c r="A163" t="inlineStr">
        <is>
          <t>ORD-11934</t>
        </is>
      </c>
      <c r="B163" s="10" t="inlineStr">
        <is>
          <t>2024-02-19</t>
        </is>
      </c>
      <c r="C163" t="inlineStr">
        <is>
          <t>Customer 147</t>
        </is>
      </c>
      <c r="D163" t="inlineStr">
        <is>
          <t>North</t>
        </is>
      </c>
      <c r="E163" t="inlineStr">
        <is>
          <t>Office Supplies</t>
        </is>
      </c>
      <c r="F163" t="inlineStr">
        <is>
          <t>Binder</t>
        </is>
      </c>
      <c r="G163" t="inlineStr">
        <is>
          <t>Second Class</t>
        </is>
      </c>
      <c r="H163" t="n">
        <v>3</v>
      </c>
      <c r="I163" s="11" t="n">
        <v>837.98</v>
      </c>
      <c r="J163" s="12" t="n">
        <v>0</v>
      </c>
      <c r="K163" s="11" t="n">
        <v>2513.94</v>
      </c>
      <c r="L163" s="11" t="n">
        <v>472.43</v>
      </c>
      <c r="M163" s="12" t="n">
        <v>0.1879</v>
      </c>
    </row>
    <row r="164">
      <c r="A164" t="inlineStr">
        <is>
          <t>ORD-10090</t>
        </is>
      </c>
      <c r="B164" s="10" t="inlineStr">
        <is>
          <t>2024-02-19</t>
        </is>
      </c>
      <c r="C164" t="inlineStr">
        <is>
          <t>Customer 174</t>
        </is>
      </c>
      <c r="D164" t="inlineStr">
        <is>
          <t>East</t>
        </is>
      </c>
      <c r="E164" t="inlineStr">
        <is>
          <t>Furniture</t>
        </is>
      </c>
      <c r="F164" t="inlineStr">
        <is>
          <t>Desk</t>
        </is>
      </c>
      <c r="G164" t="inlineStr">
        <is>
          <t>First Class</t>
        </is>
      </c>
      <c r="H164" t="n">
        <v>1</v>
      </c>
      <c r="I164" s="11" t="n">
        <v>246.36</v>
      </c>
      <c r="J164" s="12" t="n">
        <v>0</v>
      </c>
      <c r="K164" s="11" t="n">
        <v>246.36</v>
      </c>
      <c r="L164" s="11" t="n">
        <v>84.09999999999999</v>
      </c>
      <c r="M164" s="12" t="n">
        <v>0.3414</v>
      </c>
    </row>
    <row r="165">
      <c r="A165" t="inlineStr">
        <is>
          <t>ORD-11791</t>
        </is>
      </c>
      <c r="B165" s="10" t="inlineStr">
        <is>
          <t>2024-02-19</t>
        </is>
      </c>
      <c r="C165" t="inlineStr">
        <is>
          <t>Customer 29</t>
        </is>
      </c>
      <c r="D165" t="inlineStr">
        <is>
          <t>East</t>
        </is>
      </c>
      <c r="E165" t="inlineStr">
        <is>
          <t>Office Supplies</t>
        </is>
      </c>
      <c r="F165" t="inlineStr">
        <is>
          <t>Paper</t>
        </is>
      </c>
      <c r="G165" t="inlineStr">
        <is>
          <t>Second Class</t>
        </is>
      </c>
      <c r="H165" t="n">
        <v>10</v>
      </c>
      <c r="I165" s="11" t="n">
        <v>971.5700000000001</v>
      </c>
      <c r="J165" s="12" t="n">
        <v>0</v>
      </c>
      <c r="K165" s="11" t="n">
        <v>9715.700000000001</v>
      </c>
      <c r="L165" s="11" t="n">
        <v>2432.13</v>
      </c>
      <c r="M165" s="12" t="n">
        <v>0.2503</v>
      </c>
    </row>
    <row r="166">
      <c r="A166" t="inlineStr">
        <is>
          <t>ORD-10759</t>
        </is>
      </c>
      <c r="B166" s="10" t="inlineStr">
        <is>
          <t>2024-02-19</t>
        </is>
      </c>
      <c r="C166" t="inlineStr">
        <is>
          <t>Customer 105</t>
        </is>
      </c>
      <c r="D166" t="inlineStr">
        <is>
          <t>West</t>
        </is>
      </c>
      <c r="E166" t="inlineStr">
        <is>
          <t>Furniture</t>
        </is>
      </c>
      <c r="F166" t="inlineStr">
        <is>
          <t>Bookcase</t>
        </is>
      </c>
      <c r="G166" t="inlineStr">
        <is>
          <t>Same Day</t>
        </is>
      </c>
      <c r="H166" t="n">
        <v>7</v>
      </c>
      <c r="I166" s="11" t="n">
        <v>35.51</v>
      </c>
      <c r="J166" s="12" t="n">
        <v>0</v>
      </c>
      <c r="K166" s="11" t="n">
        <v>248.57</v>
      </c>
      <c r="L166" s="11" t="n">
        <v>50.19</v>
      </c>
      <c r="M166" s="12" t="n">
        <v>0.2019</v>
      </c>
    </row>
    <row r="167">
      <c r="A167" t="inlineStr">
        <is>
          <t>ORD-10469</t>
        </is>
      </c>
      <c r="B167" s="10" t="inlineStr">
        <is>
          <t>2024-02-19</t>
        </is>
      </c>
      <c r="C167" t="inlineStr">
        <is>
          <t>Customer 108</t>
        </is>
      </c>
      <c r="D167" t="inlineStr">
        <is>
          <t>East</t>
        </is>
      </c>
      <c r="E167" t="inlineStr">
        <is>
          <t>Office Supplies</t>
        </is>
      </c>
      <c r="F167" t="inlineStr">
        <is>
          <t>Paper</t>
        </is>
      </c>
      <c r="G167" t="inlineStr">
        <is>
          <t>Standard Class</t>
        </is>
      </c>
      <c r="H167" t="n">
        <v>1</v>
      </c>
      <c r="I167" s="11" t="n">
        <v>993.27</v>
      </c>
      <c r="J167" s="12" t="n">
        <v>0</v>
      </c>
      <c r="K167" s="11" t="n">
        <v>993.27</v>
      </c>
      <c r="L167" s="11" t="n">
        <v>241.09</v>
      </c>
      <c r="M167" s="12" t="n">
        <v>0.2427</v>
      </c>
    </row>
    <row r="168">
      <c r="A168" t="inlineStr">
        <is>
          <t>ORD-10447</t>
        </is>
      </c>
      <c r="B168" s="10" t="inlineStr">
        <is>
          <t>2024-02-20</t>
        </is>
      </c>
      <c r="C168" t="inlineStr">
        <is>
          <t>Customer 20</t>
        </is>
      </c>
      <c r="D168" t="inlineStr">
        <is>
          <t>South</t>
        </is>
      </c>
      <c r="E168" t="inlineStr">
        <is>
          <t>Furniture</t>
        </is>
      </c>
      <c r="F168" t="inlineStr">
        <is>
          <t>Bookcase</t>
        </is>
      </c>
      <c r="G168" t="inlineStr">
        <is>
          <t>Second Class</t>
        </is>
      </c>
      <c r="H168" t="n">
        <v>10</v>
      </c>
      <c r="I168" s="11" t="n">
        <v>714.9400000000001</v>
      </c>
      <c r="J168" s="12" t="n">
        <v>0</v>
      </c>
      <c r="K168" s="11" t="n">
        <v>7149.4</v>
      </c>
      <c r="L168" s="11" t="n">
        <v>1708.8</v>
      </c>
      <c r="M168" s="12" t="n">
        <v>0.239</v>
      </c>
    </row>
    <row r="169">
      <c r="A169" t="inlineStr">
        <is>
          <t>ORD-10852</t>
        </is>
      </c>
      <c r="B169" s="10" t="inlineStr">
        <is>
          <t>2024-02-21</t>
        </is>
      </c>
      <c r="C169" t="inlineStr">
        <is>
          <t>Customer 195</t>
        </is>
      </c>
      <c r="D169" t="inlineStr">
        <is>
          <t>West</t>
        </is>
      </c>
      <c r="E169" t="inlineStr">
        <is>
          <t>Office Supplies</t>
        </is>
      </c>
      <c r="F169" t="inlineStr">
        <is>
          <t>Binder</t>
        </is>
      </c>
      <c r="G169" t="inlineStr">
        <is>
          <t>First Class</t>
        </is>
      </c>
      <c r="H169" t="n">
        <v>2</v>
      </c>
      <c r="I169" s="11" t="n">
        <v>140.29</v>
      </c>
      <c r="J169" s="12" t="n">
        <v>0.1</v>
      </c>
      <c r="K169" s="11" t="n">
        <v>252.52</v>
      </c>
      <c r="L169" s="11" t="n">
        <v>86.44</v>
      </c>
      <c r="M169" s="12" t="n">
        <v>0.3423</v>
      </c>
    </row>
    <row r="170">
      <c r="A170" t="inlineStr">
        <is>
          <t>ORD-10640</t>
        </is>
      </c>
      <c r="B170" s="10" t="inlineStr">
        <is>
          <t>2024-02-21</t>
        </is>
      </c>
      <c r="C170" t="inlineStr">
        <is>
          <t>Customer 74</t>
        </is>
      </c>
      <c r="D170" t="inlineStr">
        <is>
          <t>North</t>
        </is>
      </c>
      <c r="E170" t="inlineStr">
        <is>
          <t>Furniture</t>
        </is>
      </c>
      <c r="F170" t="inlineStr">
        <is>
          <t>Table Lamp</t>
        </is>
      </c>
      <c r="G170" t="inlineStr">
        <is>
          <t>Second Class</t>
        </is>
      </c>
      <c r="H170" t="n">
        <v>8</v>
      </c>
      <c r="I170" s="11" t="n">
        <v>41.42</v>
      </c>
      <c r="J170" s="12" t="n">
        <v>0</v>
      </c>
      <c r="K170" s="11" t="n">
        <v>331.36</v>
      </c>
      <c r="L170" s="11" t="n">
        <v>54.79</v>
      </c>
      <c r="M170" s="12" t="n">
        <v>0.1653</v>
      </c>
    </row>
    <row r="171">
      <c r="A171" t="inlineStr">
        <is>
          <t>ORD-11479</t>
        </is>
      </c>
      <c r="B171" s="10" t="inlineStr">
        <is>
          <t>2024-02-21</t>
        </is>
      </c>
      <c r="C171" t="inlineStr">
        <is>
          <t>Customer 170</t>
        </is>
      </c>
      <c r="D171" t="inlineStr">
        <is>
          <t>North</t>
        </is>
      </c>
      <c r="E171" t="inlineStr">
        <is>
          <t>Office Supplies</t>
        </is>
      </c>
      <c r="F171" t="inlineStr">
        <is>
          <t>Stapler</t>
        </is>
      </c>
      <c r="G171" t="inlineStr">
        <is>
          <t>Second Class</t>
        </is>
      </c>
      <c r="H171" t="n">
        <v>9</v>
      </c>
      <c r="I171" s="11" t="n">
        <v>737.08</v>
      </c>
      <c r="J171" s="12" t="n">
        <v>0.15</v>
      </c>
      <c r="K171" s="11" t="n">
        <v>5638.66</v>
      </c>
      <c r="L171" s="11" t="n">
        <v>1383.26</v>
      </c>
      <c r="M171" s="12" t="n">
        <v>0.2453</v>
      </c>
    </row>
    <row r="172">
      <c r="A172" t="inlineStr">
        <is>
          <t>ORD-11047</t>
        </is>
      </c>
      <c r="B172" s="10" t="inlineStr">
        <is>
          <t>2024-02-22</t>
        </is>
      </c>
      <c r="C172" t="inlineStr">
        <is>
          <t>Customer 189</t>
        </is>
      </c>
      <c r="D172" t="inlineStr">
        <is>
          <t>North</t>
        </is>
      </c>
      <c r="E172" t="inlineStr">
        <is>
          <t>Office Supplies</t>
        </is>
      </c>
      <c r="F172" t="inlineStr">
        <is>
          <t>Binder</t>
        </is>
      </c>
      <c r="G172" t="inlineStr">
        <is>
          <t>First Class</t>
        </is>
      </c>
      <c r="H172" t="n">
        <v>4</v>
      </c>
      <c r="I172" s="11" t="n">
        <v>634.88</v>
      </c>
      <c r="J172" s="12" t="n">
        <v>0.1</v>
      </c>
      <c r="K172" s="11" t="n">
        <v>2285.57</v>
      </c>
      <c r="L172" s="11" t="n">
        <v>733.9</v>
      </c>
      <c r="M172" s="12" t="n">
        <v>0.3211</v>
      </c>
    </row>
    <row r="173">
      <c r="A173" t="inlineStr">
        <is>
          <t>ORD-10135</t>
        </is>
      </c>
      <c r="B173" s="10" t="inlineStr">
        <is>
          <t>2024-02-22</t>
        </is>
      </c>
      <c r="C173" t="inlineStr">
        <is>
          <t>Customer 84</t>
        </is>
      </c>
      <c r="D173" t="inlineStr">
        <is>
          <t>West</t>
        </is>
      </c>
      <c r="E173" t="inlineStr">
        <is>
          <t>Furniture</t>
        </is>
      </c>
      <c r="F173" t="inlineStr">
        <is>
          <t>Desk</t>
        </is>
      </c>
      <c r="G173" t="inlineStr">
        <is>
          <t>Same Day</t>
        </is>
      </c>
      <c r="H173" t="n">
        <v>2</v>
      </c>
      <c r="I173" s="11" t="n">
        <v>1100.63</v>
      </c>
      <c r="J173" s="12" t="n">
        <v>0</v>
      </c>
      <c r="K173" s="11" t="n">
        <v>2201.26</v>
      </c>
      <c r="L173" s="11" t="n">
        <v>632.1</v>
      </c>
      <c r="M173" s="12" t="n">
        <v>0.2872</v>
      </c>
    </row>
    <row r="174">
      <c r="A174" t="inlineStr">
        <is>
          <t>ORD-10292</t>
        </is>
      </c>
      <c r="B174" s="10" t="inlineStr">
        <is>
          <t>2024-02-22</t>
        </is>
      </c>
      <c r="C174" t="inlineStr">
        <is>
          <t>Customer 93</t>
        </is>
      </c>
      <c r="D174" t="inlineStr">
        <is>
          <t>West</t>
        </is>
      </c>
      <c r="E174" t="inlineStr">
        <is>
          <t>Office Supplies</t>
        </is>
      </c>
      <c r="F174" t="inlineStr">
        <is>
          <t>Binder</t>
        </is>
      </c>
      <c r="G174" t="inlineStr">
        <is>
          <t>Second Class</t>
        </is>
      </c>
      <c r="H174" t="n">
        <v>4</v>
      </c>
      <c r="I174" s="11" t="n">
        <v>572.99</v>
      </c>
      <c r="J174" s="12" t="n">
        <v>0.1</v>
      </c>
      <c r="K174" s="11" t="n">
        <v>2062.76</v>
      </c>
      <c r="L174" s="11" t="n">
        <v>688.0599999999999</v>
      </c>
      <c r="M174" s="12" t="n">
        <v>0.3336</v>
      </c>
    </row>
    <row r="175">
      <c r="A175" t="inlineStr">
        <is>
          <t>ORD-11205</t>
        </is>
      </c>
      <c r="B175" s="10" t="inlineStr">
        <is>
          <t>2024-02-23</t>
        </is>
      </c>
      <c r="C175" t="inlineStr">
        <is>
          <t>Customer 102</t>
        </is>
      </c>
      <c r="D175" t="inlineStr">
        <is>
          <t>North</t>
        </is>
      </c>
      <c r="E175" t="inlineStr">
        <is>
          <t>Furniture</t>
        </is>
      </c>
      <c r="F175" t="inlineStr">
        <is>
          <t>Bookcase</t>
        </is>
      </c>
      <c r="G175" t="inlineStr">
        <is>
          <t>Same Day</t>
        </is>
      </c>
      <c r="H175" t="n">
        <v>5</v>
      </c>
      <c r="I175" s="11" t="n">
        <v>10.68</v>
      </c>
      <c r="J175" s="12" t="n">
        <v>0.1</v>
      </c>
      <c r="K175" s="11" t="n">
        <v>48.06</v>
      </c>
      <c r="L175" s="11" t="n">
        <v>15.83</v>
      </c>
      <c r="M175" s="12" t="n">
        <v>0.3294</v>
      </c>
    </row>
    <row r="176">
      <c r="A176" t="inlineStr">
        <is>
          <t>ORD-10577</t>
        </is>
      </c>
      <c r="B176" s="10" t="inlineStr">
        <is>
          <t>2024-02-23</t>
        </is>
      </c>
      <c r="C176" t="inlineStr">
        <is>
          <t>Customer 168</t>
        </is>
      </c>
      <c r="D176" t="inlineStr">
        <is>
          <t>North</t>
        </is>
      </c>
      <c r="E176" t="inlineStr">
        <is>
          <t>Office Supplies</t>
        </is>
      </c>
      <c r="F176" t="inlineStr">
        <is>
          <t>Pens (Box)</t>
        </is>
      </c>
      <c r="G176" t="inlineStr">
        <is>
          <t>First Class</t>
        </is>
      </c>
      <c r="H176" t="n">
        <v>6</v>
      </c>
      <c r="I176" s="11" t="n">
        <v>880.12</v>
      </c>
      <c r="J176" s="12" t="n">
        <v>0.1</v>
      </c>
      <c r="K176" s="11" t="n">
        <v>4752.65</v>
      </c>
      <c r="L176" s="11" t="n">
        <v>1675.61</v>
      </c>
      <c r="M176" s="12" t="n">
        <v>0.3526</v>
      </c>
    </row>
    <row r="177">
      <c r="A177" t="inlineStr">
        <is>
          <t>ORD-10536</t>
        </is>
      </c>
      <c r="B177" s="10" t="inlineStr">
        <is>
          <t>2024-02-23</t>
        </is>
      </c>
      <c r="C177" t="inlineStr">
        <is>
          <t>Customer 77</t>
        </is>
      </c>
      <c r="D177" t="inlineStr">
        <is>
          <t>South</t>
        </is>
      </c>
      <c r="E177" t="inlineStr">
        <is>
          <t>Office Supplies</t>
        </is>
      </c>
      <c r="F177" t="inlineStr">
        <is>
          <t>Stapler</t>
        </is>
      </c>
      <c r="G177" t="inlineStr">
        <is>
          <t>First Class</t>
        </is>
      </c>
      <c r="H177" t="n">
        <v>2</v>
      </c>
      <c r="I177" s="11" t="n">
        <v>920.0599999999999</v>
      </c>
      <c r="J177" s="12" t="n">
        <v>0.1</v>
      </c>
      <c r="K177" s="11" t="n">
        <v>1656.11</v>
      </c>
      <c r="L177" s="11" t="n">
        <v>477.34</v>
      </c>
      <c r="M177" s="12" t="n">
        <v>0.2882</v>
      </c>
    </row>
    <row r="178">
      <c r="A178" t="inlineStr">
        <is>
          <t>ORD-11513</t>
        </is>
      </c>
      <c r="B178" s="10" t="inlineStr">
        <is>
          <t>2024-02-24</t>
        </is>
      </c>
      <c r="C178" t="inlineStr">
        <is>
          <t>Customer 3</t>
        </is>
      </c>
      <c r="D178" t="inlineStr">
        <is>
          <t>East</t>
        </is>
      </c>
      <c r="E178" t="inlineStr">
        <is>
          <t>Office Supplies</t>
        </is>
      </c>
      <c r="F178" t="inlineStr">
        <is>
          <t>Binder</t>
        </is>
      </c>
      <c r="G178" t="inlineStr">
        <is>
          <t>Standard Class</t>
        </is>
      </c>
      <c r="H178" t="n">
        <v>6</v>
      </c>
      <c r="I178" s="11" t="n">
        <v>94.86</v>
      </c>
      <c r="J178" s="12" t="n">
        <v>0.1</v>
      </c>
      <c r="K178" s="11" t="n">
        <v>512.24</v>
      </c>
      <c r="L178" s="11" t="n">
        <v>128.19</v>
      </c>
      <c r="M178" s="12" t="n">
        <v>0.2503</v>
      </c>
    </row>
    <row r="179">
      <c r="A179" t="inlineStr">
        <is>
          <t>ORD-10720</t>
        </is>
      </c>
      <c r="B179" s="10" t="inlineStr">
        <is>
          <t>2024-02-24</t>
        </is>
      </c>
      <c r="C179" t="inlineStr">
        <is>
          <t>Customer 81</t>
        </is>
      </c>
      <c r="D179" t="inlineStr">
        <is>
          <t>West</t>
        </is>
      </c>
      <c r="E179" t="inlineStr">
        <is>
          <t>Office Supplies</t>
        </is>
      </c>
      <c r="F179" t="inlineStr">
        <is>
          <t>Paper</t>
        </is>
      </c>
      <c r="G179" t="inlineStr">
        <is>
          <t>First Class</t>
        </is>
      </c>
      <c r="H179" t="n">
        <v>9</v>
      </c>
      <c r="I179" s="11" t="n">
        <v>519.58</v>
      </c>
      <c r="J179" s="12" t="n">
        <v>0</v>
      </c>
      <c r="K179" s="11" t="n">
        <v>4676.22</v>
      </c>
      <c r="L179" s="11" t="n">
        <v>1886.93</v>
      </c>
      <c r="M179" s="12" t="n">
        <v>0.4035</v>
      </c>
    </row>
    <row r="180">
      <c r="A180" t="inlineStr">
        <is>
          <t>ORD-10673</t>
        </is>
      </c>
      <c r="B180" s="10" t="inlineStr">
        <is>
          <t>2024-02-25</t>
        </is>
      </c>
      <c r="C180" t="inlineStr">
        <is>
          <t>Customer 106</t>
        </is>
      </c>
      <c r="D180" t="inlineStr">
        <is>
          <t>West</t>
        </is>
      </c>
      <c r="E180" t="inlineStr">
        <is>
          <t>Office Supplies</t>
        </is>
      </c>
      <c r="F180" t="inlineStr">
        <is>
          <t>Pens (Box)</t>
        </is>
      </c>
      <c r="G180" t="inlineStr">
        <is>
          <t>Same Day</t>
        </is>
      </c>
      <c r="H180" t="n">
        <v>3</v>
      </c>
      <c r="I180" s="11" t="n">
        <v>1087.21</v>
      </c>
      <c r="J180" s="12" t="n">
        <v>0</v>
      </c>
      <c r="K180" s="11" t="n">
        <v>3261.63</v>
      </c>
      <c r="L180" s="11" t="n">
        <v>891.1900000000001</v>
      </c>
      <c r="M180" s="12" t="n">
        <v>0.2732</v>
      </c>
    </row>
    <row r="181">
      <c r="A181" t="inlineStr">
        <is>
          <t>ORD-10423</t>
        </is>
      </c>
      <c r="B181" s="10" t="inlineStr">
        <is>
          <t>2024-02-25</t>
        </is>
      </c>
      <c r="C181" t="inlineStr">
        <is>
          <t>Customer 95</t>
        </is>
      </c>
      <c r="D181" t="inlineStr">
        <is>
          <t>West</t>
        </is>
      </c>
      <c r="E181" t="inlineStr">
        <is>
          <t>Furniture</t>
        </is>
      </c>
      <c r="F181" t="inlineStr">
        <is>
          <t>Table Lamp</t>
        </is>
      </c>
      <c r="G181" t="inlineStr">
        <is>
          <t>First Class</t>
        </is>
      </c>
      <c r="H181" t="n">
        <v>3</v>
      </c>
      <c r="I181" s="11" t="n">
        <v>707.45</v>
      </c>
      <c r="J181" s="12" t="n">
        <v>0</v>
      </c>
      <c r="K181" s="11" t="n">
        <v>2122.35</v>
      </c>
      <c r="L181" s="11" t="n">
        <v>1013.48</v>
      </c>
      <c r="M181" s="12" t="n">
        <v>0.4775</v>
      </c>
    </row>
    <row r="182">
      <c r="A182" t="inlineStr">
        <is>
          <t>ORD-10955</t>
        </is>
      </c>
      <c r="B182" s="10" t="inlineStr">
        <is>
          <t>2024-02-26</t>
        </is>
      </c>
      <c r="C182" t="inlineStr">
        <is>
          <t>Customer 162</t>
        </is>
      </c>
      <c r="D182" t="inlineStr">
        <is>
          <t>East</t>
        </is>
      </c>
      <c r="E182" t="inlineStr">
        <is>
          <t>Technology</t>
        </is>
      </c>
      <c r="F182" t="inlineStr">
        <is>
          <t>Wireless Mouse</t>
        </is>
      </c>
      <c r="G182" t="inlineStr">
        <is>
          <t>Second Class</t>
        </is>
      </c>
      <c r="H182" t="n">
        <v>6</v>
      </c>
      <c r="I182" s="11" t="n">
        <v>198.39</v>
      </c>
      <c r="J182" s="12" t="n">
        <v>0.1</v>
      </c>
      <c r="K182" s="11" t="n">
        <v>1071.31</v>
      </c>
      <c r="L182" s="11" t="n">
        <v>439.12</v>
      </c>
      <c r="M182" s="12" t="n">
        <v>0.4099</v>
      </c>
    </row>
    <row r="183">
      <c r="A183" t="inlineStr">
        <is>
          <t>ORD-11001</t>
        </is>
      </c>
      <c r="B183" s="10" t="inlineStr">
        <is>
          <t>2024-02-27</t>
        </is>
      </c>
      <c r="C183" t="inlineStr">
        <is>
          <t>Customer 65</t>
        </is>
      </c>
      <c r="D183" t="inlineStr">
        <is>
          <t>South</t>
        </is>
      </c>
      <c r="E183" t="inlineStr">
        <is>
          <t>Furniture</t>
        </is>
      </c>
      <c r="F183" t="inlineStr">
        <is>
          <t>Table Lamp</t>
        </is>
      </c>
      <c r="G183" t="inlineStr">
        <is>
          <t>First Class</t>
        </is>
      </c>
      <c r="H183" t="n">
        <v>2</v>
      </c>
      <c r="I183" s="11" t="n">
        <v>329.68</v>
      </c>
      <c r="J183" s="12" t="n">
        <v>0</v>
      </c>
      <c r="K183" s="11" t="n">
        <v>659.36</v>
      </c>
      <c r="L183" s="11" t="n">
        <v>160.72</v>
      </c>
      <c r="M183" s="12" t="n">
        <v>0.2438</v>
      </c>
    </row>
    <row r="184">
      <c r="A184" t="inlineStr">
        <is>
          <t>ORD-10517</t>
        </is>
      </c>
      <c r="B184" s="10" t="inlineStr">
        <is>
          <t>2024-02-27</t>
        </is>
      </c>
      <c r="C184" t="inlineStr">
        <is>
          <t>Customer 17</t>
        </is>
      </c>
      <c r="D184" t="inlineStr">
        <is>
          <t>East</t>
        </is>
      </c>
      <c r="E184" t="inlineStr">
        <is>
          <t>Office Supplies</t>
        </is>
      </c>
      <c r="F184" t="inlineStr">
        <is>
          <t>Stapler</t>
        </is>
      </c>
      <c r="G184" t="inlineStr">
        <is>
          <t>Second Class</t>
        </is>
      </c>
      <c r="H184" t="n">
        <v>9</v>
      </c>
      <c r="I184" s="11" t="n">
        <v>1125.39</v>
      </c>
      <c r="J184" s="12" t="n">
        <v>0.2</v>
      </c>
      <c r="K184" s="11" t="n">
        <v>8102.81</v>
      </c>
      <c r="L184" s="11" t="n">
        <v>2966.09</v>
      </c>
      <c r="M184" s="12" t="n">
        <v>0.3661</v>
      </c>
    </row>
    <row r="185">
      <c r="A185" t="inlineStr">
        <is>
          <t>ORD-11525</t>
        </is>
      </c>
      <c r="B185" s="10" t="inlineStr">
        <is>
          <t>2024-02-27</t>
        </is>
      </c>
      <c r="C185" t="inlineStr">
        <is>
          <t>Customer 66</t>
        </is>
      </c>
      <c r="D185" t="inlineStr">
        <is>
          <t>South</t>
        </is>
      </c>
      <c r="E185" t="inlineStr">
        <is>
          <t>Technology</t>
        </is>
      </c>
      <c r="F185" t="inlineStr">
        <is>
          <t>Laptop</t>
        </is>
      </c>
      <c r="G185" t="inlineStr">
        <is>
          <t>Standard Class</t>
        </is>
      </c>
      <c r="H185" t="n">
        <v>11</v>
      </c>
      <c r="I185" s="11" t="n">
        <v>221.38</v>
      </c>
      <c r="J185" s="12" t="n">
        <v>0</v>
      </c>
      <c r="K185" s="11" t="n">
        <v>2435.18</v>
      </c>
      <c r="L185" s="11" t="n">
        <v>599.5700000000001</v>
      </c>
      <c r="M185" s="12" t="n">
        <v>0.2462</v>
      </c>
    </row>
    <row r="186">
      <c r="A186" t="inlineStr">
        <is>
          <t>ORD-11108</t>
        </is>
      </c>
      <c r="B186" s="10" t="inlineStr">
        <is>
          <t>2024-02-27</t>
        </is>
      </c>
      <c r="C186" t="inlineStr">
        <is>
          <t>Customer 79</t>
        </is>
      </c>
      <c r="D186" t="inlineStr">
        <is>
          <t>East</t>
        </is>
      </c>
      <c r="E186" t="inlineStr">
        <is>
          <t>Technology</t>
        </is>
      </c>
      <c r="F186" t="inlineStr">
        <is>
          <t>Printer</t>
        </is>
      </c>
      <c r="G186" t="inlineStr">
        <is>
          <t>First Class</t>
        </is>
      </c>
      <c r="H186" t="n">
        <v>1</v>
      </c>
      <c r="I186" s="11" t="n">
        <v>1089.88</v>
      </c>
      <c r="J186" s="12" t="n">
        <v>0</v>
      </c>
      <c r="K186" s="11" t="n">
        <v>1089.88</v>
      </c>
      <c r="L186" s="11" t="n">
        <v>370.88</v>
      </c>
      <c r="M186" s="12" t="n">
        <v>0.3403</v>
      </c>
    </row>
    <row r="187">
      <c r="A187" t="inlineStr">
        <is>
          <t>ORD-10630</t>
        </is>
      </c>
      <c r="B187" s="10" t="inlineStr">
        <is>
          <t>2024-02-28</t>
        </is>
      </c>
      <c r="C187" t="inlineStr">
        <is>
          <t>Customer 140</t>
        </is>
      </c>
      <c r="D187" t="inlineStr">
        <is>
          <t>South</t>
        </is>
      </c>
      <c r="E187" t="inlineStr">
        <is>
          <t>Office Supplies</t>
        </is>
      </c>
      <c r="F187" t="inlineStr">
        <is>
          <t>Binder</t>
        </is>
      </c>
      <c r="G187" t="inlineStr">
        <is>
          <t>Second Class</t>
        </is>
      </c>
      <c r="H187" t="n">
        <v>3</v>
      </c>
      <c r="I187" s="11" t="n">
        <v>869.8</v>
      </c>
      <c r="J187" s="12" t="n">
        <v>0</v>
      </c>
      <c r="K187" s="11" t="n">
        <v>2609.4</v>
      </c>
      <c r="L187" s="11" t="n">
        <v>541.29</v>
      </c>
      <c r="M187" s="12" t="n">
        <v>0.2074</v>
      </c>
    </row>
    <row r="188">
      <c r="A188" t="inlineStr">
        <is>
          <t>ORD-11085</t>
        </is>
      </c>
      <c r="B188" s="10" t="inlineStr">
        <is>
          <t>2024-02-28</t>
        </is>
      </c>
      <c r="C188" t="inlineStr">
        <is>
          <t>Customer 185</t>
        </is>
      </c>
      <c r="D188" t="inlineStr">
        <is>
          <t>South</t>
        </is>
      </c>
      <c r="E188" t="inlineStr">
        <is>
          <t>Technology</t>
        </is>
      </c>
      <c r="F188" t="inlineStr">
        <is>
          <t>Monitor</t>
        </is>
      </c>
      <c r="G188" t="inlineStr">
        <is>
          <t>Standard Class</t>
        </is>
      </c>
      <c r="H188" t="n">
        <v>9</v>
      </c>
      <c r="I188" s="11" t="n">
        <v>875.3200000000001</v>
      </c>
      <c r="J188" s="12" t="n">
        <v>0</v>
      </c>
      <c r="K188" s="11" t="n">
        <v>7877.88</v>
      </c>
      <c r="L188" s="11" t="n">
        <v>2399.06</v>
      </c>
      <c r="M188" s="12" t="n">
        <v>0.3045</v>
      </c>
    </row>
    <row r="189">
      <c r="A189" t="inlineStr">
        <is>
          <t>ORD-11827</t>
        </is>
      </c>
      <c r="B189" s="10" t="inlineStr">
        <is>
          <t>2024-02-28</t>
        </is>
      </c>
      <c r="C189" t="inlineStr">
        <is>
          <t>Customer 3</t>
        </is>
      </c>
      <c r="D189" t="inlineStr">
        <is>
          <t>East</t>
        </is>
      </c>
      <c r="E189" t="inlineStr">
        <is>
          <t>Furniture</t>
        </is>
      </c>
      <c r="F189" t="inlineStr">
        <is>
          <t>Table Lamp</t>
        </is>
      </c>
      <c r="G189" t="inlineStr">
        <is>
          <t>Same Day</t>
        </is>
      </c>
      <c r="H189" t="n">
        <v>9</v>
      </c>
      <c r="I189" s="11" t="n">
        <v>275.65</v>
      </c>
      <c r="J189" s="12" t="n">
        <v>0.2</v>
      </c>
      <c r="K189" s="11" t="n">
        <v>1984.68</v>
      </c>
      <c r="L189" s="11" t="n">
        <v>465.24</v>
      </c>
      <c r="M189" s="12" t="n">
        <v>0.2344</v>
      </c>
    </row>
    <row r="190">
      <c r="A190" t="inlineStr">
        <is>
          <t>ORD-11446</t>
        </is>
      </c>
      <c r="B190" s="10" t="inlineStr">
        <is>
          <t>2024-02-29</t>
        </is>
      </c>
      <c r="C190" t="inlineStr">
        <is>
          <t>Customer 179</t>
        </is>
      </c>
      <c r="D190" t="inlineStr">
        <is>
          <t>West</t>
        </is>
      </c>
      <c r="E190" t="inlineStr">
        <is>
          <t>Technology</t>
        </is>
      </c>
      <c r="F190" t="inlineStr">
        <is>
          <t>Printer</t>
        </is>
      </c>
      <c r="G190" t="inlineStr">
        <is>
          <t>Same Day</t>
        </is>
      </c>
      <c r="H190" t="n">
        <v>8</v>
      </c>
      <c r="I190" s="11" t="n">
        <v>197.14</v>
      </c>
      <c r="J190" s="12" t="n">
        <v>0</v>
      </c>
      <c r="K190" s="11" t="n">
        <v>1577.12</v>
      </c>
      <c r="L190" s="11" t="n">
        <v>728.95</v>
      </c>
      <c r="M190" s="12" t="n">
        <v>0.4622</v>
      </c>
    </row>
    <row r="191">
      <c r="A191" t="inlineStr">
        <is>
          <t>ORD-10390</t>
        </is>
      </c>
      <c r="B191" s="10" t="inlineStr">
        <is>
          <t>2024-03-01</t>
        </is>
      </c>
      <c r="C191" t="inlineStr">
        <is>
          <t>Customer 82</t>
        </is>
      </c>
      <c r="D191" t="inlineStr">
        <is>
          <t>South</t>
        </is>
      </c>
      <c r="E191" t="inlineStr">
        <is>
          <t>Office Supplies</t>
        </is>
      </c>
      <c r="F191" t="inlineStr">
        <is>
          <t>Paper</t>
        </is>
      </c>
      <c r="G191" t="inlineStr">
        <is>
          <t>First Class</t>
        </is>
      </c>
      <c r="H191" t="n">
        <v>11</v>
      </c>
      <c r="I191" s="11" t="n">
        <v>598.4</v>
      </c>
      <c r="J191" s="12" t="n">
        <v>0.15</v>
      </c>
      <c r="K191" s="11" t="n">
        <v>5595.04</v>
      </c>
      <c r="L191" s="11" t="n">
        <v>852.0700000000001</v>
      </c>
      <c r="M191" s="12" t="n">
        <v>0.1523</v>
      </c>
    </row>
    <row r="192">
      <c r="A192" t="inlineStr">
        <is>
          <t>ORD-11222</t>
        </is>
      </c>
      <c r="B192" s="10" t="inlineStr">
        <is>
          <t>2024-03-01</t>
        </is>
      </c>
      <c r="C192" t="inlineStr">
        <is>
          <t>Customer 62</t>
        </is>
      </c>
      <c r="D192" t="inlineStr">
        <is>
          <t>East</t>
        </is>
      </c>
      <c r="E192" t="inlineStr">
        <is>
          <t>Furniture</t>
        </is>
      </c>
      <c r="F192" t="inlineStr">
        <is>
          <t>Desk</t>
        </is>
      </c>
      <c r="G192" t="inlineStr">
        <is>
          <t>Same Day</t>
        </is>
      </c>
      <c r="H192" t="n">
        <v>11</v>
      </c>
      <c r="I192" s="11" t="n">
        <v>1005.35</v>
      </c>
      <c r="J192" s="12" t="n">
        <v>0</v>
      </c>
      <c r="K192" s="11" t="n">
        <v>11058.85</v>
      </c>
      <c r="L192" s="11" t="n">
        <v>3940.08</v>
      </c>
      <c r="M192" s="12" t="n">
        <v>0.3563</v>
      </c>
    </row>
    <row r="193">
      <c r="A193" t="inlineStr">
        <is>
          <t>ORD-10849</t>
        </is>
      </c>
      <c r="B193" s="10" t="inlineStr">
        <is>
          <t>2024-03-02</t>
        </is>
      </c>
      <c r="C193" t="inlineStr">
        <is>
          <t>Customer 66</t>
        </is>
      </c>
      <c r="D193" t="inlineStr">
        <is>
          <t>South</t>
        </is>
      </c>
      <c r="E193" t="inlineStr">
        <is>
          <t>Furniture</t>
        </is>
      </c>
      <c r="F193" t="inlineStr">
        <is>
          <t>Table Lamp</t>
        </is>
      </c>
      <c r="G193" t="inlineStr">
        <is>
          <t>Same Day</t>
        </is>
      </c>
      <c r="H193" t="n">
        <v>8</v>
      </c>
      <c r="I193" s="11" t="n">
        <v>754.42</v>
      </c>
      <c r="J193" s="12" t="n">
        <v>0</v>
      </c>
      <c r="K193" s="11" t="n">
        <v>6035.36</v>
      </c>
      <c r="L193" s="11" t="n">
        <v>2087.28</v>
      </c>
      <c r="M193" s="12" t="n">
        <v>0.3458</v>
      </c>
    </row>
    <row r="194">
      <c r="A194" t="inlineStr">
        <is>
          <t>ORD-11588</t>
        </is>
      </c>
      <c r="B194" s="10" t="inlineStr">
        <is>
          <t>2024-03-02</t>
        </is>
      </c>
      <c r="C194" t="inlineStr">
        <is>
          <t>Customer 3</t>
        </is>
      </c>
      <c r="D194" t="inlineStr">
        <is>
          <t>East</t>
        </is>
      </c>
      <c r="E194" t="inlineStr">
        <is>
          <t>Office Supplies</t>
        </is>
      </c>
      <c r="F194" t="inlineStr">
        <is>
          <t>Binder</t>
        </is>
      </c>
      <c r="G194" t="inlineStr">
        <is>
          <t>Standard Class</t>
        </is>
      </c>
      <c r="H194" t="n">
        <v>8</v>
      </c>
      <c r="I194" s="11" t="n">
        <v>26.32</v>
      </c>
      <c r="J194" s="12" t="n">
        <v>0.1</v>
      </c>
      <c r="K194" s="11" t="n">
        <v>189.5</v>
      </c>
      <c r="L194" s="11" t="n">
        <v>71.58</v>
      </c>
      <c r="M194" s="12" t="n">
        <v>0.3777</v>
      </c>
    </row>
    <row r="195">
      <c r="A195" t="inlineStr">
        <is>
          <t>ORD-10653</t>
        </is>
      </c>
      <c r="B195" s="10" t="inlineStr">
        <is>
          <t>2024-03-02</t>
        </is>
      </c>
      <c r="C195" t="inlineStr">
        <is>
          <t>Customer 83</t>
        </is>
      </c>
      <c r="D195" t="inlineStr">
        <is>
          <t>North</t>
        </is>
      </c>
      <c r="E195" t="inlineStr">
        <is>
          <t>Technology</t>
        </is>
      </c>
      <c r="F195" t="inlineStr">
        <is>
          <t>Printer</t>
        </is>
      </c>
      <c r="G195" t="inlineStr">
        <is>
          <t>First Class</t>
        </is>
      </c>
      <c r="H195" t="n">
        <v>9</v>
      </c>
      <c r="I195" s="11" t="n">
        <v>157.27</v>
      </c>
      <c r="J195" s="12" t="n">
        <v>0</v>
      </c>
      <c r="K195" s="11" t="n">
        <v>1415.43</v>
      </c>
      <c r="L195" s="11" t="n">
        <v>426.06</v>
      </c>
      <c r="M195" s="12" t="n">
        <v>0.301</v>
      </c>
    </row>
    <row r="196">
      <c r="A196" t="inlineStr">
        <is>
          <t>ORD-11161</t>
        </is>
      </c>
      <c r="B196" s="10" t="inlineStr">
        <is>
          <t>2024-03-02</t>
        </is>
      </c>
      <c r="C196" t="inlineStr">
        <is>
          <t>Customer 58</t>
        </is>
      </c>
      <c r="D196" t="inlineStr">
        <is>
          <t>North</t>
        </is>
      </c>
      <c r="E196" t="inlineStr">
        <is>
          <t>Furniture</t>
        </is>
      </c>
      <c r="F196" t="inlineStr">
        <is>
          <t>Bookcase</t>
        </is>
      </c>
      <c r="G196" t="inlineStr">
        <is>
          <t>Second Class</t>
        </is>
      </c>
      <c r="H196" t="n">
        <v>11</v>
      </c>
      <c r="I196" s="11" t="n">
        <v>395.95</v>
      </c>
      <c r="J196" s="12" t="n">
        <v>0.1</v>
      </c>
      <c r="K196" s="11" t="n">
        <v>3919.9</v>
      </c>
      <c r="L196" s="11" t="n">
        <v>683.87</v>
      </c>
      <c r="M196" s="12" t="n">
        <v>0.1745</v>
      </c>
    </row>
    <row r="197">
      <c r="A197" t="inlineStr">
        <is>
          <t>ORD-11870</t>
        </is>
      </c>
      <c r="B197" s="10" t="inlineStr">
        <is>
          <t>2024-03-03</t>
        </is>
      </c>
      <c r="C197" t="inlineStr">
        <is>
          <t>Customer 20</t>
        </is>
      </c>
      <c r="D197" t="inlineStr">
        <is>
          <t>South</t>
        </is>
      </c>
      <c r="E197" t="inlineStr">
        <is>
          <t>Technology</t>
        </is>
      </c>
      <c r="F197" t="inlineStr">
        <is>
          <t>Monitor</t>
        </is>
      </c>
      <c r="G197" t="inlineStr">
        <is>
          <t>Standard Class</t>
        </is>
      </c>
      <c r="H197" t="n">
        <v>6</v>
      </c>
      <c r="I197" s="11" t="n">
        <v>155.63</v>
      </c>
      <c r="J197" s="12" t="n">
        <v>0.1</v>
      </c>
      <c r="K197" s="11" t="n">
        <v>840.4</v>
      </c>
      <c r="L197" s="11" t="n">
        <v>365.45</v>
      </c>
      <c r="M197" s="12" t="n">
        <v>0.4349</v>
      </c>
    </row>
    <row r="198">
      <c r="A198" t="inlineStr">
        <is>
          <t>ORD-11311</t>
        </is>
      </c>
      <c r="B198" s="10" t="inlineStr">
        <is>
          <t>2024-03-03</t>
        </is>
      </c>
      <c r="C198" t="inlineStr">
        <is>
          <t>Customer 86</t>
        </is>
      </c>
      <c r="D198" t="inlineStr">
        <is>
          <t>East</t>
        </is>
      </c>
      <c r="E198" t="inlineStr">
        <is>
          <t>Technology</t>
        </is>
      </c>
      <c r="F198" t="inlineStr">
        <is>
          <t>Wireless Mouse</t>
        </is>
      </c>
      <c r="G198" t="inlineStr">
        <is>
          <t>Standard Class</t>
        </is>
      </c>
      <c r="H198" t="n">
        <v>7</v>
      </c>
      <c r="I198" s="11" t="n">
        <v>824.77</v>
      </c>
      <c r="J198" s="12" t="n">
        <v>0</v>
      </c>
      <c r="K198" s="11" t="n">
        <v>5773.39</v>
      </c>
      <c r="L198" s="11" t="n">
        <v>1418.49</v>
      </c>
      <c r="M198" s="12" t="n">
        <v>0.2457</v>
      </c>
    </row>
    <row r="199">
      <c r="A199" t="inlineStr">
        <is>
          <t>ORD-10387</t>
        </is>
      </c>
      <c r="B199" s="10" t="inlineStr">
        <is>
          <t>2024-03-03</t>
        </is>
      </c>
      <c r="C199" t="inlineStr">
        <is>
          <t>Customer 16</t>
        </is>
      </c>
      <c r="D199" t="inlineStr">
        <is>
          <t>West</t>
        </is>
      </c>
      <c r="E199" t="inlineStr">
        <is>
          <t>Technology</t>
        </is>
      </c>
      <c r="F199" t="inlineStr">
        <is>
          <t>Monitor</t>
        </is>
      </c>
      <c r="G199" t="inlineStr">
        <is>
          <t>Standard Class</t>
        </is>
      </c>
      <c r="H199" t="n">
        <v>10</v>
      </c>
      <c r="I199" s="11" t="n">
        <v>984.01</v>
      </c>
      <c r="J199" s="12" t="n">
        <v>0</v>
      </c>
      <c r="K199" s="11" t="n">
        <v>9840.1</v>
      </c>
      <c r="L199" s="11" t="n">
        <v>2258.17</v>
      </c>
      <c r="M199" s="12" t="n">
        <v>0.2295</v>
      </c>
    </row>
    <row r="200">
      <c r="A200" t="inlineStr">
        <is>
          <t>ORD-10814</t>
        </is>
      </c>
      <c r="B200" s="10" t="inlineStr">
        <is>
          <t>2024-03-03</t>
        </is>
      </c>
      <c r="C200" t="inlineStr">
        <is>
          <t>Customer 112</t>
        </is>
      </c>
      <c r="D200" t="inlineStr">
        <is>
          <t>West</t>
        </is>
      </c>
      <c r="E200" t="inlineStr">
        <is>
          <t>Furniture</t>
        </is>
      </c>
      <c r="F200" t="inlineStr">
        <is>
          <t>Table Lamp</t>
        </is>
      </c>
      <c r="G200" t="inlineStr">
        <is>
          <t>First Class</t>
        </is>
      </c>
      <c r="H200" t="n">
        <v>8</v>
      </c>
      <c r="I200" s="11" t="n">
        <v>232.96</v>
      </c>
      <c r="J200" s="12" t="n">
        <v>0</v>
      </c>
      <c r="K200" s="11" t="n">
        <v>1863.68</v>
      </c>
      <c r="L200" s="11" t="n">
        <v>325.09</v>
      </c>
      <c r="M200" s="12" t="n">
        <v>0.1744</v>
      </c>
    </row>
    <row r="201">
      <c r="A201" t="inlineStr">
        <is>
          <t>ORD-11842</t>
        </is>
      </c>
      <c r="B201" s="10" t="inlineStr">
        <is>
          <t>2024-03-03</t>
        </is>
      </c>
      <c r="C201" t="inlineStr">
        <is>
          <t>Customer 91</t>
        </is>
      </c>
      <c r="D201" t="inlineStr">
        <is>
          <t>South</t>
        </is>
      </c>
      <c r="E201" t="inlineStr">
        <is>
          <t>Office Supplies</t>
        </is>
      </c>
      <c r="F201" t="inlineStr">
        <is>
          <t>Pens (Box)</t>
        </is>
      </c>
      <c r="G201" t="inlineStr">
        <is>
          <t>Second Class</t>
        </is>
      </c>
      <c r="H201" t="n">
        <v>1</v>
      </c>
      <c r="I201" s="11" t="n">
        <v>780.5700000000001</v>
      </c>
      <c r="J201" s="12" t="n">
        <v>0.1</v>
      </c>
      <c r="K201" s="11" t="n">
        <v>702.51</v>
      </c>
      <c r="L201" s="11" t="n">
        <v>269.13</v>
      </c>
      <c r="M201" s="12" t="n">
        <v>0.3831</v>
      </c>
    </row>
    <row r="202">
      <c r="A202" t="inlineStr">
        <is>
          <t>ORD-11144</t>
        </is>
      </c>
      <c r="B202" s="10" t="inlineStr">
        <is>
          <t>2024-03-04</t>
        </is>
      </c>
      <c r="C202" t="inlineStr">
        <is>
          <t>Customer 178</t>
        </is>
      </c>
      <c r="D202" t="inlineStr">
        <is>
          <t>North</t>
        </is>
      </c>
      <c r="E202" t="inlineStr">
        <is>
          <t>Office Supplies</t>
        </is>
      </c>
      <c r="F202" t="inlineStr">
        <is>
          <t>Paper</t>
        </is>
      </c>
      <c r="G202" t="inlineStr">
        <is>
          <t>Same Day</t>
        </is>
      </c>
      <c r="H202" t="n">
        <v>9</v>
      </c>
      <c r="I202" s="11" t="n">
        <v>472.58</v>
      </c>
      <c r="J202" s="12" t="n">
        <v>0</v>
      </c>
      <c r="K202" s="11" t="n">
        <v>4253.22</v>
      </c>
      <c r="L202" s="11" t="n">
        <v>1629.95</v>
      </c>
      <c r="M202" s="12" t="n">
        <v>0.3832</v>
      </c>
    </row>
    <row r="203">
      <c r="A203" t="inlineStr">
        <is>
          <t>ORD-10952</t>
        </is>
      </c>
      <c r="B203" s="10" t="inlineStr">
        <is>
          <t>2024-03-04</t>
        </is>
      </c>
      <c r="C203" t="inlineStr">
        <is>
          <t>Customer 188</t>
        </is>
      </c>
      <c r="D203" t="inlineStr">
        <is>
          <t>South</t>
        </is>
      </c>
      <c r="E203" t="inlineStr">
        <is>
          <t>Office Supplies</t>
        </is>
      </c>
      <c r="F203" t="inlineStr">
        <is>
          <t>Binder</t>
        </is>
      </c>
      <c r="G203" t="inlineStr">
        <is>
          <t>Same Day</t>
        </is>
      </c>
      <c r="H203" t="n">
        <v>6</v>
      </c>
      <c r="I203" s="11" t="n">
        <v>1007.16</v>
      </c>
      <c r="J203" s="12" t="n">
        <v>0</v>
      </c>
      <c r="K203" s="11" t="n">
        <v>6042.96</v>
      </c>
      <c r="L203" s="11" t="n">
        <v>1954.09</v>
      </c>
      <c r="M203" s="12" t="n">
        <v>0.3234</v>
      </c>
    </row>
    <row r="204">
      <c r="A204" t="inlineStr">
        <is>
          <t>ORD-10163</t>
        </is>
      </c>
      <c r="B204" s="10" t="inlineStr">
        <is>
          <t>2024-03-04</t>
        </is>
      </c>
      <c r="C204" t="inlineStr">
        <is>
          <t>Customer 141</t>
        </is>
      </c>
      <c r="D204" t="inlineStr">
        <is>
          <t>West</t>
        </is>
      </c>
      <c r="E204" t="inlineStr">
        <is>
          <t>Furniture</t>
        </is>
      </c>
      <c r="F204" t="inlineStr">
        <is>
          <t>Desk</t>
        </is>
      </c>
      <c r="G204" t="inlineStr">
        <is>
          <t>Same Day</t>
        </is>
      </c>
      <c r="H204" t="n">
        <v>6</v>
      </c>
      <c r="I204" s="11" t="n">
        <v>85.68000000000001</v>
      </c>
      <c r="J204" s="12" t="n">
        <v>0</v>
      </c>
      <c r="K204" s="11" t="n">
        <v>514.08</v>
      </c>
      <c r="L204" s="11" t="n">
        <v>256.95</v>
      </c>
      <c r="M204" s="12" t="n">
        <v>0.4998</v>
      </c>
    </row>
    <row r="205">
      <c r="A205" t="inlineStr">
        <is>
          <t>ORD-11144</t>
        </is>
      </c>
      <c r="B205" s="10" t="inlineStr">
        <is>
          <t>2024-03-04</t>
        </is>
      </c>
      <c r="C205" t="inlineStr">
        <is>
          <t>Customer 178</t>
        </is>
      </c>
      <c r="D205" t="inlineStr">
        <is>
          <t>North</t>
        </is>
      </c>
      <c r="E205" t="inlineStr">
        <is>
          <t>Office Supplies</t>
        </is>
      </c>
      <c r="F205" t="inlineStr">
        <is>
          <t>Paper</t>
        </is>
      </c>
      <c r="G205" t="inlineStr">
        <is>
          <t>Same Day</t>
        </is>
      </c>
      <c r="H205" t="n">
        <v>9</v>
      </c>
      <c r="I205" s="11" t="n">
        <v>472.58</v>
      </c>
      <c r="J205" s="12" t="n">
        <v>0</v>
      </c>
      <c r="K205" s="11" t="n">
        <v>4253.22</v>
      </c>
      <c r="L205" s="11" t="n">
        <v>1629.95</v>
      </c>
      <c r="M205" s="12" t="n">
        <v>0.3832</v>
      </c>
    </row>
    <row r="206">
      <c r="A206" t="inlineStr">
        <is>
          <t>ORD-11921</t>
        </is>
      </c>
      <c r="B206" s="10" t="inlineStr">
        <is>
          <t>2024-03-06</t>
        </is>
      </c>
      <c r="C206" t="inlineStr">
        <is>
          <t>Customer 118</t>
        </is>
      </c>
      <c r="D206" t="inlineStr">
        <is>
          <t>North</t>
        </is>
      </c>
      <c r="E206" t="inlineStr">
        <is>
          <t>Furniture</t>
        </is>
      </c>
      <c r="F206" t="inlineStr">
        <is>
          <t>Chair</t>
        </is>
      </c>
      <c r="G206" t="inlineStr">
        <is>
          <t>Second Class</t>
        </is>
      </c>
      <c r="H206" t="n">
        <v>2</v>
      </c>
      <c r="I206" s="11" t="n">
        <v>726.16</v>
      </c>
      <c r="J206" s="12" t="n">
        <v>0.1</v>
      </c>
      <c r="K206" s="11" t="n">
        <v>1307.09</v>
      </c>
      <c r="L206" s="11" t="n">
        <v>257.41</v>
      </c>
      <c r="M206" s="12" t="n">
        <v>0.1969</v>
      </c>
    </row>
    <row r="207">
      <c r="A207" t="inlineStr">
        <is>
          <t>ORD-11921</t>
        </is>
      </c>
      <c r="B207" s="10" t="inlineStr">
        <is>
          <t>2024-03-06</t>
        </is>
      </c>
      <c r="C207" t="inlineStr">
        <is>
          <t>Customer 118</t>
        </is>
      </c>
      <c r="D207" t="inlineStr">
        <is>
          <t>North</t>
        </is>
      </c>
      <c r="E207" t="inlineStr">
        <is>
          <t>Furniture</t>
        </is>
      </c>
      <c r="F207" t="inlineStr">
        <is>
          <t>Chair</t>
        </is>
      </c>
      <c r="G207" t="inlineStr">
        <is>
          <t>Second Class</t>
        </is>
      </c>
      <c r="H207" t="n">
        <v>2</v>
      </c>
      <c r="I207" s="11" t="n">
        <v>726.16</v>
      </c>
      <c r="J207" s="12" t="n">
        <v>0.1</v>
      </c>
      <c r="K207" s="11" t="n">
        <v>1307.09</v>
      </c>
      <c r="L207" s="11" t="n">
        <v>257.41</v>
      </c>
      <c r="M207" s="12" t="n">
        <v>0.1969</v>
      </c>
    </row>
    <row r="208">
      <c r="A208" t="inlineStr">
        <is>
          <t>ORD-11731</t>
        </is>
      </c>
      <c r="B208" s="10" t="inlineStr">
        <is>
          <t>2024-03-07</t>
        </is>
      </c>
      <c r="C208" t="inlineStr">
        <is>
          <t>Customer 94</t>
        </is>
      </c>
      <c r="D208" t="inlineStr">
        <is>
          <t>South</t>
        </is>
      </c>
      <c r="E208" t="inlineStr">
        <is>
          <t>Technology</t>
        </is>
      </c>
      <c r="F208" t="inlineStr">
        <is>
          <t>Laptop</t>
        </is>
      </c>
      <c r="G208" t="inlineStr">
        <is>
          <t>First Class</t>
        </is>
      </c>
      <c r="H208" t="n">
        <v>9</v>
      </c>
      <c r="I208" s="11" t="n">
        <v>73.41</v>
      </c>
      <c r="J208" s="12" t="n">
        <v>0</v>
      </c>
      <c r="K208" s="11" t="n">
        <v>660.6900000000001</v>
      </c>
      <c r="L208" s="11" t="n">
        <v>106.74</v>
      </c>
      <c r="M208" s="12" t="n">
        <v>0.1616</v>
      </c>
    </row>
    <row r="209">
      <c r="A209" t="inlineStr">
        <is>
          <t>ORD-10677</t>
        </is>
      </c>
      <c r="B209" s="10" t="inlineStr">
        <is>
          <t>2024-03-07</t>
        </is>
      </c>
      <c r="C209" t="inlineStr">
        <is>
          <t>Customer 133</t>
        </is>
      </c>
      <c r="D209" t="inlineStr">
        <is>
          <t>North</t>
        </is>
      </c>
      <c r="E209" t="inlineStr">
        <is>
          <t>Furniture</t>
        </is>
      </c>
      <c r="F209" t="inlineStr">
        <is>
          <t>Chair</t>
        </is>
      </c>
      <c r="G209" t="inlineStr">
        <is>
          <t>Second Class</t>
        </is>
      </c>
      <c r="H209" t="n">
        <v>4</v>
      </c>
      <c r="I209" s="11" t="n">
        <v>577.3099999999999</v>
      </c>
      <c r="J209" s="12" t="n">
        <v>0</v>
      </c>
      <c r="K209" s="11" t="n">
        <v>2309.24</v>
      </c>
      <c r="L209" s="11" t="n">
        <v>462.61</v>
      </c>
      <c r="M209" s="12" t="n">
        <v>0.2003</v>
      </c>
    </row>
    <row r="210">
      <c r="A210" t="inlineStr">
        <is>
          <t>ORD-10316</t>
        </is>
      </c>
      <c r="B210" s="10" t="inlineStr">
        <is>
          <t>2024-03-09</t>
        </is>
      </c>
      <c r="C210" t="inlineStr">
        <is>
          <t>Customer 184</t>
        </is>
      </c>
      <c r="D210" t="inlineStr">
        <is>
          <t>East</t>
        </is>
      </c>
      <c r="E210" t="inlineStr">
        <is>
          <t>Technology</t>
        </is>
      </c>
      <c r="F210" t="inlineStr">
        <is>
          <t>Wireless Mouse</t>
        </is>
      </c>
      <c r="G210" t="inlineStr">
        <is>
          <t>Same Day</t>
        </is>
      </c>
      <c r="H210" t="n">
        <v>1</v>
      </c>
      <c r="I210" s="11" t="n">
        <v>789.1900000000001</v>
      </c>
      <c r="J210" s="12" t="n">
        <v>0</v>
      </c>
      <c r="K210" s="11" t="n">
        <v>789.1900000000001</v>
      </c>
      <c r="L210" s="11" t="n">
        <v>181.86</v>
      </c>
      <c r="M210" s="12" t="n">
        <v>0.2304</v>
      </c>
    </row>
    <row r="211">
      <c r="A211" t="inlineStr">
        <is>
          <t>ORD-11390</t>
        </is>
      </c>
      <c r="B211" s="10" t="inlineStr">
        <is>
          <t>2024-03-09</t>
        </is>
      </c>
      <c r="C211" t="inlineStr">
        <is>
          <t>Customer 32</t>
        </is>
      </c>
      <c r="D211" t="inlineStr">
        <is>
          <t>North</t>
        </is>
      </c>
      <c r="E211" t="inlineStr">
        <is>
          <t>Furniture</t>
        </is>
      </c>
      <c r="F211" t="inlineStr">
        <is>
          <t>Bookcase</t>
        </is>
      </c>
      <c r="G211" t="inlineStr">
        <is>
          <t>Standard Class</t>
        </is>
      </c>
      <c r="H211" t="n">
        <v>1</v>
      </c>
      <c r="I211" s="11" t="n">
        <v>882.35</v>
      </c>
      <c r="J211" s="12" t="n">
        <v>0</v>
      </c>
      <c r="K211" s="11" t="n">
        <v>882.35</v>
      </c>
      <c r="L211" s="11" t="n">
        <v>259.8</v>
      </c>
      <c r="M211" s="12" t="n">
        <v>0.2944</v>
      </c>
    </row>
    <row r="212">
      <c r="A212" t="inlineStr">
        <is>
          <t>ORD-11416</t>
        </is>
      </c>
      <c r="B212" s="10" t="inlineStr">
        <is>
          <t>2024-03-10</t>
        </is>
      </c>
      <c r="C212" t="inlineStr">
        <is>
          <t>Customer 107</t>
        </is>
      </c>
      <c r="D212" t="inlineStr">
        <is>
          <t>West</t>
        </is>
      </c>
      <c r="E212" t="inlineStr">
        <is>
          <t>Furniture</t>
        </is>
      </c>
      <c r="F212" t="inlineStr">
        <is>
          <t>Bookcase</t>
        </is>
      </c>
      <c r="G212" t="inlineStr">
        <is>
          <t>First Class</t>
        </is>
      </c>
      <c r="H212" t="n">
        <v>6</v>
      </c>
      <c r="I212" s="11" t="n">
        <v>946.73</v>
      </c>
      <c r="J212" s="12" t="n">
        <v>0</v>
      </c>
      <c r="K212" s="11" t="n">
        <v>5680.38</v>
      </c>
      <c r="L212" s="11" t="n">
        <v>2353.35</v>
      </c>
      <c r="M212" s="12" t="n">
        <v>0.4143</v>
      </c>
    </row>
    <row r="213">
      <c r="A213" t="inlineStr">
        <is>
          <t>ORD-11595</t>
        </is>
      </c>
      <c r="B213" s="10" t="inlineStr">
        <is>
          <t>2024-03-10</t>
        </is>
      </c>
      <c r="C213" t="inlineStr">
        <is>
          <t>Customer 159</t>
        </is>
      </c>
      <c r="D213" t="inlineStr">
        <is>
          <t>East</t>
        </is>
      </c>
      <c r="E213" t="inlineStr">
        <is>
          <t>Technology</t>
        </is>
      </c>
      <c r="F213" t="inlineStr">
        <is>
          <t>Laptop</t>
        </is>
      </c>
      <c r="G213" t="inlineStr">
        <is>
          <t>Same Day</t>
        </is>
      </c>
      <c r="H213" t="n">
        <v>1</v>
      </c>
      <c r="I213" s="11" t="n">
        <v>847.48</v>
      </c>
      <c r="J213" s="12" t="n">
        <v>0</v>
      </c>
      <c r="K213" s="11" t="n">
        <v>847.48</v>
      </c>
      <c r="L213" s="11" t="n">
        <v>168.01</v>
      </c>
      <c r="M213" s="12" t="n">
        <v>0.1982</v>
      </c>
    </row>
    <row r="214">
      <c r="A214" t="inlineStr">
        <is>
          <t>ORD-10002</t>
        </is>
      </c>
      <c r="B214" s="10" t="inlineStr">
        <is>
          <t>2024-03-11</t>
        </is>
      </c>
      <c r="C214" t="inlineStr">
        <is>
          <t>Customer 32</t>
        </is>
      </c>
      <c r="D214" t="inlineStr">
        <is>
          <t>North</t>
        </is>
      </c>
      <c r="E214" t="inlineStr">
        <is>
          <t>Office Supplies</t>
        </is>
      </c>
      <c r="F214" t="inlineStr">
        <is>
          <t>Binder</t>
        </is>
      </c>
      <c r="G214" t="inlineStr">
        <is>
          <t>Second Class</t>
        </is>
      </c>
      <c r="H214" t="n">
        <v>1</v>
      </c>
      <c r="I214" s="11" t="n">
        <v>1083.61</v>
      </c>
      <c r="J214" s="12" t="n">
        <v>0</v>
      </c>
      <c r="K214" s="11" t="n">
        <v>1083.61</v>
      </c>
      <c r="L214" s="11" t="n">
        <v>465.06</v>
      </c>
      <c r="M214" s="12" t="n">
        <v>0.4292</v>
      </c>
    </row>
    <row r="215">
      <c r="A215" t="inlineStr">
        <is>
          <t>ORD-10372</t>
        </is>
      </c>
      <c r="B215" s="10" t="inlineStr">
        <is>
          <t>2024-03-11</t>
        </is>
      </c>
      <c r="C215" t="inlineStr">
        <is>
          <t>Customer 66</t>
        </is>
      </c>
      <c r="D215" t="inlineStr">
        <is>
          <t>South</t>
        </is>
      </c>
      <c r="E215" t="inlineStr">
        <is>
          <t>Office Supplies</t>
        </is>
      </c>
      <c r="F215" t="inlineStr">
        <is>
          <t>Paper</t>
        </is>
      </c>
      <c r="G215" t="inlineStr">
        <is>
          <t>Standard Class</t>
        </is>
      </c>
      <c r="H215" t="n">
        <v>3</v>
      </c>
      <c r="I215" s="11" t="n">
        <v>283.11</v>
      </c>
      <c r="J215" s="12" t="n">
        <v>0.15</v>
      </c>
      <c r="K215" s="11" t="n">
        <v>721.9299999999999</v>
      </c>
      <c r="L215" s="11" t="n">
        <v>253.91</v>
      </c>
      <c r="M215" s="12" t="n">
        <v>0.3517</v>
      </c>
    </row>
    <row r="216">
      <c r="A216" t="inlineStr">
        <is>
          <t>ORD-10335</t>
        </is>
      </c>
      <c r="B216" s="10" t="inlineStr">
        <is>
          <t>2024-03-13</t>
        </is>
      </c>
      <c r="C216" t="inlineStr">
        <is>
          <t>Customer 60</t>
        </is>
      </c>
      <c r="D216" t="inlineStr">
        <is>
          <t>East</t>
        </is>
      </c>
      <c r="E216" t="inlineStr">
        <is>
          <t>Technology</t>
        </is>
      </c>
      <c r="F216" t="inlineStr">
        <is>
          <t>Monitor</t>
        </is>
      </c>
      <c r="G216" t="inlineStr">
        <is>
          <t>First Class</t>
        </is>
      </c>
      <c r="H216" t="n">
        <v>9</v>
      </c>
      <c r="I216" s="11" t="n">
        <v>1011.73</v>
      </c>
      <c r="J216" s="12" t="n">
        <v>0.15</v>
      </c>
      <c r="K216" s="11" t="n">
        <v>7739.73</v>
      </c>
      <c r="L216" s="11" t="n">
        <v>3070.84</v>
      </c>
      <c r="M216" s="12" t="n">
        <v>0.3968</v>
      </c>
    </row>
    <row r="217">
      <c r="A217" t="inlineStr">
        <is>
          <t>ORD-11554</t>
        </is>
      </c>
      <c r="B217" s="10" t="inlineStr">
        <is>
          <t>2024-03-13</t>
        </is>
      </c>
      <c r="C217" t="inlineStr">
        <is>
          <t>Customer 9</t>
        </is>
      </c>
      <c r="D217" t="inlineStr">
        <is>
          <t>North</t>
        </is>
      </c>
      <c r="E217" t="inlineStr">
        <is>
          <t>Technology</t>
        </is>
      </c>
      <c r="F217" t="inlineStr">
        <is>
          <t>Wireless Mouse</t>
        </is>
      </c>
      <c r="G217" t="inlineStr">
        <is>
          <t>First Class</t>
        </is>
      </c>
      <c r="H217" t="n">
        <v>5</v>
      </c>
      <c r="I217" s="11" t="n">
        <v>820.55</v>
      </c>
      <c r="J217" s="12" t="n">
        <v>0</v>
      </c>
      <c r="K217" s="11" t="n">
        <v>4102.75</v>
      </c>
      <c r="L217" s="11" t="n">
        <v>889.59</v>
      </c>
      <c r="M217" s="12" t="n">
        <v>0.2168</v>
      </c>
    </row>
    <row r="218">
      <c r="A218" t="inlineStr">
        <is>
          <t>ORD-11944</t>
        </is>
      </c>
      <c r="B218" s="10" t="inlineStr">
        <is>
          <t>2024-03-13</t>
        </is>
      </c>
      <c r="C218" t="inlineStr">
        <is>
          <t>Customer 90</t>
        </is>
      </c>
      <c r="D218" t="inlineStr">
        <is>
          <t>West</t>
        </is>
      </c>
      <c r="E218" t="inlineStr">
        <is>
          <t>Furniture</t>
        </is>
      </c>
      <c r="F218" t="inlineStr">
        <is>
          <t>Table Lamp</t>
        </is>
      </c>
      <c r="G218" t="inlineStr">
        <is>
          <t>Same Day</t>
        </is>
      </c>
      <c r="H218" t="n">
        <v>7</v>
      </c>
      <c r="I218" s="11" t="n">
        <v>296.23</v>
      </c>
      <c r="J218" s="12" t="n">
        <v>0.15</v>
      </c>
      <c r="K218" s="11" t="n">
        <v>1762.57</v>
      </c>
      <c r="L218" s="11" t="n">
        <v>159.21</v>
      </c>
      <c r="M218" s="12" t="n">
        <v>0.09030000000000001</v>
      </c>
    </row>
    <row r="219">
      <c r="A219" t="inlineStr">
        <is>
          <t>ORD-10687</t>
        </is>
      </c>
      <c r="B219" s="10" t="inlineStr">
        <is>
          <t>2024-03-13</t>
        </is>
      </c>
      <c r="C219" t="inlineStr">
        <is>
          <t>Customer 170</t>
        </is>
      </c>
      <c r="D219" t="inlineStr">
        <is>
          <t>North</t>
        </is>
      </c>
      <c r="E219" t="inlineStr">
        <is>
          <t>Office Supplies</t>
        </is>
      </c>
      <c r="F219" t="inlineStr">
        <is>
          <t>Stapler</t>
        </is>
      </c>
      <c r="G219" t="inlineStr">
        <is>
          <t>First Class</t>
        </is>
      </c>
      <c r="H219" t="n">
        <v>11</v>
      </c>
      <c r="I219" s="11" t="n">
        <v>294.94</v>
      </c>
      <c r="J219" s="12" t="n">
        <v>0</v>
      </c>
      <c r="K219" s="11" t="n">
        <v>3244.34</v>
      </c>
      <c r="L219" s="11" t="n">
        <v>698.4</v>
      </c>
      <c r="M219" s="12" t="n">
        <v>0.2153</v>
      </c>
    </row>
    <row r="220">
      <c r="A220" t="inlineStr">
        <is>
          <t>ORD-11066</t>
        </is>
      </c>
      <c r="B220" s="10" t="inlineStr">
        <is>
          <t>2024-03-14</t>
        </is>
      </c>
      <c r="C220" t="inlineStr">
        <is>
          <t>Customer 191</t>
        </is>
      </c>
      <c r="D220" t="inlineStr">
        <is>
          <t>East</t>
        </is>
      </c>
      <c r="E220" t="inlineStr">
        <is>
          <t>Office Supplies</t>
        </is>
      </c>
      <c r="F220" t="inlineStr">
        <is>
          <t>Binder</t>
        </is>
      </c>
      <c r="G220" t="inlineStr">
        <is>
          <t>First Class</t>
        </is>
      </c>
      <c r="H220" t="n">
        <v>7</v>
      </c>
      <c r="I220" s="11" t="n">
        <v>629</v>
      </c>
      <c r="J220" s="12" t="n">
        <v>0</v>
      </c>
      <c r="K220" s="11" t="n">
        <v>4403</v>
      </c>
      <c r="L220" s="11" t="n">
        <v>1814.6</v>
      </c>
      <c r="M220" s="12" t="n">
        <v>0.4121</v>
      </c>
    </row>
    <row r="221">
      <c r="A221" t="inlineStr">
        <is>
          <t>ORD-10963</t>
        </is>
      </c>
      <c r="B221" s="10" t="inlineStr">
        <is>
          <t>2024-03-15</t>
        </is>
      </c>
      <c r="C221" t="inlineStr">
        <is>
          <t>Customer 174</t>
        </is>
      </c>
      <c r="D221" t="inlineStr">
        <is>
          <t>East</t>
        </is>
      </c>
      <c r="E221" t="inlineStr">
        <is>
          <t>Technology</t>
        </is>
      </c>
      <c r="F221" t="inlineStr">
        <is>
          <t>Wireless Mouse</t>
        </is>
      </c>
      <c r="G221" t="inlineStr">
        <is>
          <t>Same Day</t>
        </is>
      </c>
      <c r="H221" t="n">
        <v>4</v>
      </c>
      <c r="I221" s="11" t="n">
        <v>602.36</v>
      </c>
      <c r="J221" s="12" t="n">
        <v>0</v>
      </c>
      <c r="K221" s="11" t="n">
        <v>2409.44</v>
      </c>
      <c r="L221" s="11" t="n">
        <v>409.68</v>
      </c>
      <c r="M221" s="12" t="n">
        <v>0.17</v>
      </c>
    </row>
    <row r="222">
      <c r="A222" t="inlineStr">
        <is>
          <t>ORD-11969</t>
        </is>
      </c>
      <c r="B222" s="10" t="inlineStr">
        <is>
          <t>2024-03-15</t>
        </is>
      </c>
      <c r="C222" t="inlineStr">
        <is>
          <t>Customer 26</t>
        </is>
      </c>
      <c r="D222" t="inlineStr">
        <is>
          <t>East</t>
        </is>
      </c>
      <c r="E222" t="inlineStr">
        <is>
          <t>Furniture</t>
        </is>
      </c>
      <c r="F222" t="inlineStr">
        <is>
          <t>Chair</t>
        </is>
      </c>
      <c r="G222" t="inlineStr">
        <is>
          <t>Standard Class</t>
        </is>
      </c>
      <c r="H222" t="n">
        <v>2</v>
      </c>
      <c r="I222" s="11" t="n">
        <v>751.67</v>
      </c>
      <c r="J222" s="12" t="n">
        <v>0</v>
      </c>
      <c r="K222" s="11" t="n">
        <v>1503.34</v>
      </c>
      <c r="L222" s="11" t="n">
        <v>609.5</v>
      </c>
      <c r="M222" s="12" t="n">
        <v>0.4054</v>
      </c>
    </row>
    <row r="223">
      <c r="A223" t="inlineStr">
        <is>
          <t>ORD-11848</t>
        </is>
      </c>
      <c r="B223" s="10" t="inlineStr">
        <is>
          <t>2024-03-16</t>
        </is>
      </c>
      <c r="C223" t="inlineStr">
        <is>
          <t>Customer 158</t>
        </is>
      </c>
      <c r="D223" t="inlineStr">
        <is>
          <t>East</t>
        </is>
      </c>
      <c r="E223" t="inlineStr">
        <is>
          <t>Furniture</t>
        </is>
      </c>
      <c r="F223" t="inlineStr">
        <is>
          <t>Bookcase</t>
        </is>
      </c>
      <c r="G223" t="inlineStr">
        <is>
          <t>Second Class</t>
        </is>
      </c>
      <c r="H223" t="n">
        <v>1</v>
      </c>
      <c r="I223" s="11" t="n">
        <v>369.38</v>
      </c>
      <c r="J223" s="12" t="n">
        <v>0</v>
      </c>
      <c r="K223" s="11" t="n">
        <v>369.38</v>
      </c>
      <c r="L223" s="11" t="n">
        <v>125.91</v>
      </c>
      <c r="M223" s="12" t="n">
        <v>0.3409</v>
      </c>
    </row>
    <row r="224">
      <c r="A224" t="inlineStr">
        <is>
          <t>ORD-11033</t>
        </is>
      </c>
      <c r="B224" s="10" t="inlineStr">
        <is>
          <t>2024-03-16</t>
        </is>
      </c>
      <c r="C224" t="inlineStr">
        <is>
          <t>Customer 144</t>
        </is>
      </c>
      <c r="D224" t="inlineStr">
        <is>
          <t>South</t>
        </is>
      </c>
      <c r="E224" t="inlineStr">
        <is>
          <t>Technology</t>
        </is>
      </c>
      <c r="F224" t="inlineStr">
        <is>
          <t>Wireless Mouse</t>
        </is>
      </c>
      <c r="G224" t="inlineStr">
        <is>
          <t>First Class</t>
        </is>
      </c>
      <c r="H224" t="n">
        <v>9</v>
      </c>
      <c r="I224" s="11" t="n">
        <v>205.68</v>
      </c>
      <c r="J224" s="12" t="n">
        <v>0</v>
      </c>
      <c r="K224" s="11" t="n">
        <v>1851.12</v>
      </c>
      <c r="L224" s="11" t="n">
        <v>706.52</v>
      </c>
      <c r="M224" s="12" t="n">
        <v>0.3817</v>
      </c>
    </row>
    <row r="225">
      <c r="A225" t="inlineStr">
        <is>
          <t>ORD-10363</t>
        </is>
      </c>
      <c r="B225" s="10" t="inlineStr">
        <is>
          <t>2024-03-17</t>
        </is>
      </c>
      <c r="C225" t="inlineStr">
        <is>
          <t>Customer 85</t>
        </is>
      </c>
      <c r="D225" t="inlineStr">
        <is>
          <t>East</t>
        </is>
      </c>
      <c r="E225" t="inlineStr">
        <is>
          <t>Office Supplies</t>
        </is>
      </c>
      <c r="F225" t="inlineStr">
        <is>
          <t>Pens (Box)</t>
        </is>
      </c>
      <c r="G225" t="inlineStr">
        <is>
          <t>Same Day</t>
        </is>
      </c>
      <c r="H225" t="n">
        <v>7</v>
      </c>
      <c r="I225" s="11" t="n">
        <v>647.3200000000001</v>
      </c>
      <c r="J225" s="12" t="n">
        <v>0</v>
      </c>
      <c r="K225" s="11" t="n">
        <v>4531.24</v>
      </c>
      <c r="L225" s="11" t="n">
        <v>2105.13</v>
      </c>
      <c r="M225" s="12" t="n">
        <v>0.4646</v>
      </c>
    </row>
    <row r="226">
      <c r="A226" t="inlineStr">
        <is>
          <t>ORD-11726</t>
        </is>
      </c>
      <c r="B226" s="10" t="inlineStr">
        <is>
          <t>2024-03-17</t>
        </is>
      </c>
      <c r="C226" t="inlineStr">
        <is>
          <t>Customer 35</t>
        </is>
      </c>
      <c r="D226" t="inlineStr">
        <is>
          <t>West</t>
        </is>
      </c>
      <c r="E226" t="inlineStr">
        <is>
          <t>Technology</t>
        </is>
      </c>
      <c r="F226" t="inlineStr">
        <is>
          <t>Laptop</t>
        </is>
      </c>
      <c r="G226" t="inlineStr">
        <is>
          <t>First Class</t>
        </is>
      </c>
      <c r="H226" t="n">
        <v>10</v>
      </c>
      <c r="I226" s="11" t="n">
        <v>270.68</v>
      </c>
      <c r="J226" s="12" t="n">
        <v>0</v>
      </c>
      <c r="K226" s="11" t="n">
        <v>2706.8</v>
      </c>
      <c r="L226" s="11" t="n">
        <v>1340.09</v>
      </c>
      <c r="M226" s="12" t="n">
        <v>0.4951</v>
      </c>
    </row>
    <row r="227">
      <c r="A227" t="inlineStr">
        <is>
          <t>ORD-10159</t>
        </is>
      </c>
      <c r="B227" s="10" t="inlineStr">
        <is>
          <t>2024-03-18</t>
        </is>
      </c>
      <c r="C227" t="inlineStr">
        <is>
          <t>Customer 139</t>
        </is>
      </c>
      <c r="D227" t="inlineStr">
        <is>
          <t>South</t>
        </is>
      </c>
      <c r="E227" t="inlineStr">
        <is>
          <t>Office Supplies</t>
        </is>
      </c>
      <c r="F227" t="inlineStr">
        <is>
          <t>Pens (Box)</t>
        </is>
      </c>
      <c r="G227" t="inlineStr">
        <is>
          <t>First Class</t>
        </is>
      </c>
      <c r="H227" t="n">
        <v>8</v>
      </c>
      <c r="I227" s="11" t="n">
        <v>1190.49</v>
      </c>
      <c r="J227" s="12" t="n">
        <v>0.3</v>
      </c>
      <c r="K227" s="11" t="n">
        <v>6666.74</v>
      </c>
      <c r="L227" s="11" t="n">
        <v>183.23</v>
      </c>
      <c r="M227" s="12" t="n">
        <v>0.0275</v>
      </c>
    </row>
    <row r="228">
      <c r="A228" t="inlineStr">
        <is>
          <t>ORD-11296</t>
        </is>
      </c>
      <c r="B228" s="10" t="inlineStr">
        <is>
          <t>2024-03-18</t>
        </is>
      </c>
      <c r="C228" t="inlineStr">
        <is>
          <t>Customer 200</t>
        </is>
      </c>
      <c r="D228" t="inlineStr">
        <is>
          <t>West</t>
        </is>
      </c>
      <c r="E228" t="inlineStr">
        <is>
          <t>Office Supplies</t>
        </is>
      </c>
      <c r="F228" t="inlineStr">
        <is>
          <t>Stapler</t>
        </is>
      </c>
      <c r="G228" t="inlineStr">
        <is>
          <t>Second Class</t>
        </is>
      </c>
      <c r="H228" t="n">
        <v>1</v>
      </c>
      <c r="I228" s="11" t="n">
        <v>742.91</v>
      </c>
      <c r="J228" s="12" t="n">
        <v>0</v>
      </c>
      <c r="K228" s="11" t="n">
        <v>742.91</v>
      </c>
      <c r="L228" s="11" t="n">
        <v>119.85</v>
      </c>
      <c r="M228" s="12" t="n">
        <v>0.1613</v>
      </c>
    </row>
    <row r="229">
      <c r="A229" t="inlineStr">
        <is>
          <t>ORD-11544</t>
        </is>
      </c>
      <c r="B229" s="10" t="inlineStr">
        <is>
          <t>2024-03-18</t>
        </is>
      </c>
      <c r="C229" t="inlineStr">
        <is>
          <t>Customer 104</t>
        </is>
      </c>
      <c r="D229" t="inlineStr">
        <is>
          <t>North</t>
        </is>
      </c>
      <c r="E229" t="inlineStr">
        <is>
          <t>Office Supplies</t>
        </is>
      </c>
      <c r="F229" t="inlineStr">
        <is>
          <t>Pens (Box)</t>
        </is>
      </c>
      <c r="G229" t="inlineStr">
        <is>
          <t>Standard Class</t>
        </is>
      </c>
      <c r="H229" t="n">
        <v>9</v>
      </c>
      <c r="I229" s="11" t="n">
        <v>582.91</v>
      </c>
      <c r="J229" s="12" t="n">
        <v>0.15</v>
      </c>
      <c r="K229" s="11" t="n">
        <v>4459.26</v>
      </c>
      <c r="L229" s="11" t="n">
        <v>813.49</v>
      </c>
      <c r="M229" s="12" t="n">
        <v>0.1824</v>
      </c>
    </row>
    <row r="230">
      <c r="A230" t="inlineStr">
        <is>
          <t>ORD-11158</t>
        </is>
      </c>
      <c r="B230" s="10" t="inlineStr">
        <is>
          <t>2024-03-18</t>
        </is>
      </c>
      <c r="C230" t="inlineStr">
        <is>
          <t>Customer 44</t>
        </is>
      </c>
      <c r="D230" t="inlineStr">
        <is>
          <t>South</t>
        </is>
      </c>
      <c r="E230" t="inlineStr">
        <is>
          <t>Furniture</t>
        </is>
      </c>
      <c r="F230" t="inlineStr">
        <is>
          <t>Bookcase</t>
        </is>
      </c>
      <c r="G230" t="inlineStr">
        <is>
          <t>Same Day</t>
        </is>
      </c>
      <c r="H230" t="n">
        <v>6</v>
      </c>
      <c r="I230" s="11" t="n">
        <v>169.98</v>
      </c>
      <c r="J230" s="12" t="n">
        <v>0</v>
      </c>
      <c r="K230" s="11" t="n">
        <v>1019.88</v>
      </c>
      <c r="L230" s="11" t="n">
        <v>490.23</v>
      </c>
      <c r="M230" s="12" t="n">
        <v>0.4807</v>
      </c>
    </row>
    <row r="231">
      <c r="A231" t="inlineStr">
        <is>
          <t>ORD-10613</t>
        </is>
      </c>
      <c r="B231" s="10" t="inlineStr">
        <is>
          <t>2024-03-18</t>
        </is>
      </c>
      <c r="C231" t="inlineStr">
        <is>
          <t>Customer 175</t>
        </is>
      </c>
      <c r="D231" t="inlineStr">
        <is>
          <t>East</t>
        </is>
      </c>
      <c r="E231" t="inlineStr">
        <is>
          <t>Furniture</t>
        </is>
      </c>
      <c r="F231" t="inlineStr">
        <is>
          <t>Table Lamp</t>
        </is>
      </c>
      <c r="G231" t="inlineStr">
        <is>
          <t>Second Class</t>
        </is>
      </c>
      <c r="H231" t="n">
        <v>5</v>
      </c>
      <c r="I231" s="11" t="n">
        <v>446.52</v>
      </c>
      <c r="J231" s="12" t="n">
        <v>0</v>
      </c>
      <c r="K231" s="11" t="n">
        <v>2232.6</v>
      </c>
      <c r="L231" s="11" t="n">
        <v>546.4400000000001</v>
      </c>
      <c r="M231" s="12" t="n">
        <v>0.2448</v>
      </c>
    </row>
    <row r="232">
      <c r="A232" t="inlineStr">
        <is>
          <t>ORD-10010</t>
        </is>
      </c>
      <c r="B232" s="10" t="inlineStr">
        <is>
          <t>2024-03-19</t>
        </is>
      </c>
      <c r="C232" t="inlineStr">
        <is>
          <t>Customer 78</t>
        </is>
      </c>
      <c r="D232" t="inlineStr">
        <is>
          <t>North</t>
        </is>
      </c>
      <c r="E232" t="inlineStr">
        <is>
          <t>Office Supplies</t>
        </is>
      </c>
      <c r="F232" t="inlineStr">
        <is>
          <t>Pens (Box)</t>
        </is>
      </c>
      <c r="G232" t="inlineStr">
        <is>
          <t>First Class</t>
        </is>
      </c>
      <c r="H232" t="n">
        <v>4</v>
      </c>
      <c r="I232" s="11" t="n">
        <v>1099.63</v>
      </c>
      <c r="J232" s="12" t="n">
        <v>0</v>
      </c>
      <c r="K232" s="11" t="n">
        <v>4398.52</v>
      </c>
      <c r="L232" s="11" t="n">
        <v>2141.66</v>
      </c>
      <c r="M232" s="12" t="n">
        <v>0.4869</v>
      </c>
    </row>
    <row r="233">
      <c r="A233" t="inlineStr">
        <is>
          <t>ORD-11510</t>
        </is>
      </c>
      <c r="B233" s="10" t="inlineStr">
        <is>
          <t>2024-03-19</t>
        </is>
      </c>
      <c r="C233" t="inlineStr">
        <is>
          <t>Customer 9</t>
        </is>
      </c>
      <c r="D233" t="inlineStr">
        <is>
          <t>North</t>
        </is>
      </c>
      <c r="E233" t="inlineStr">
        <is>
          <t>Office Supplies</t>
        </is>
      </c>
      <c r="F233" t="inlineStr">
        <is>
          <t>Pens (Box)</t>
        </is>
      </c>
      <c r="G233" t="inlineStr">
        <is>
          <t>Second Class</t>
        </is>
      </c>
      <c r="H233" t="n">
        <v>5</v>
      </c>
      <c r="I233" s="11" t="n">
        <v>762.63</v>
      </c>
      <c r="J233" s="12" t="n">
        <v>0.15</v>
      </c>
      <c r="K233" s="11" t="n">
        <v>3241.18</v>
      </c>
      <c r="L233" s="11" t="n">
        <v>997.36</v>
      </c>
      <c r="M233" s="12" t="n">
        <v>0.3077</v>
      </c>
    </row>
    <row r="234">
      <c r="A234" t="inlineStr">
        <is>
          <t>ORD-10751</t>
        </is>
      </c>
      <c r="B234" s="10" t="inlineStr">
        <is>
          <t>2024-03-19</t>
        </is>
      </c>
      <c r="C234" t="inlineStr">
        <is>
          <t>Customer 1</t>
        </is>
      </c>
      <c r="D234" t="inlineStr">
        <is>
          <t>North</t>
        </is>
      </c>
      <c r="E234" t="inlineStr">
        <is>
          <t>Technology</t>
        </is>
      </c>
      <c r="F234" t="inlineStr">
        <is>
          <t>Laptop</t>
        </is>
      </c>
      <c r="G234" t="inlineStr">
        <is>
          <t>Same Day</t>
        </is>
      </c>
      <c r="H234" t="n">
        <v>6</v>
      </c>
      <c r="I234" s="11" t="n">
        <v>253.89</v>
      </c>
      <c r="J234" s="12" t="n">
        <v>0.15</v>
      </c>
      <c r="K234" s="11" t="n">
        <v>1294.84</v>
      </c>
      <c r="L234" s="11" t="n">
        <v>45.85</v>
      </c>
      <c r="M234" s="12" t="n">
        <v>0.0354</v>
      </c>
    </row>
    <row r="235">
      <c r="A235" t="inlineStr">
        <is>
          <t>ORD-10917</t>
        </is>
      </c>
      <c r="B235" s="10" t="inlineStr">
        <is>
          <t>2024-03-20</t>
        </is>
      </c>
      <c r="C235" t="inlineStr">
        <is>
          <t>Customer 98</t>
        </is>
      </c>
      <c r="D235" t="inlineStr">
        <is>
          <t>East</t>
        </is>
      </c>
      <c r="E235" t="inlineStr">
        <is>
          <t>Furniture</t>
        </is>
      </c>
      <c r="F235" t="inlineStr">
        <is>
          <t>Desk</t>
        </is>
      </c>
      <c r="G235" t="inlineStr">
        <is>
          <t>First Class</t>
        </is>
      </c>
      <c r="H235" t="n">
        <v>1</v>
      </c>
      <c r="I235" s="11" t="n">
        <v>165.33</v>
      </c>
      <c r="J235" s="12" t="n">
        <v>0</v>
      </c>
      <c r="K235" s="11" t="n">
        <v>165.33</v>
      </c>
      <c r="L235" s="11" t="n">
        <v>35.9</v>
      </c>
      <c r="M235" s="12" t="n">
        <v>0.2171</v>
      </c>
    </row>
    <row r="236">
      <c r="A236" t="inlineStr">
        <is>
          <t>ORD-11268</t>
        </is>
      </c>
      <c r="B236" s="10" t="inlineStr">
        <is>
          <t>2024-03-20</t>
        </is>
      </c>
      <c r="C236" t="inlineStr">
        <is>
          <t>Customer 149</t>
        </is>
      </c>
      <c r="D236" t="inlineStr">
        <is>
          <t>West</t>
        </is>
      </c>
      <c r="E236" t="inlineStr">
        <is>
          <t>Furniture</t>
        </is>
      </c>
      <c r="F236" t="inlineStr">
        <is>
          <t>Table Lamp</t>
        </is>
      </c>
      <c r="G236" t="inlineStr">
        <is>
          <t>First Class</t>
        </is>
      </c>
      <c r="H236" t="n">
        <v>5</v>
      </c>
      <c r="I236" s="11" t="n">
        <v>483.32</v>
      </c>
      <c r="J236" s="12" t="n">
        <v>0.1</v>
      </c>
      <c r="K236" s="11" t="n">
        <v>2174.94</v>
      </c>
      <c r="L236" s="11" t="n">
        <v>828.1799999999999</v>
      </c>
      <c r="M236" s="12" t="n">
        <v>0.3808</v>
      </c>
    </row>
    <row r="237">
      <c r="A237" t="inlineStr">
        <is>
          <t>ORD-11002</t>
        </is>
      </c>
      <c r="B237" s="10" t="inlineStr">
        <is>
          <t>2024-03-20</t>
        </is>
      </c>
      <c r="C237" t="inlineStr">
        <is>
          <t>Customer 182</t>
        </is>
      </c>
      <c r="D237" t="inlineStr">
        <is>
          <t>North</t>
        </is>
      </c>
      <c r="E237" t="inlineStr">
        <is>
          <t>Furniture</t>
        </is>
      </c>
      <c r="F237" t="inlineStr">
        <is>
          <t>Chair</t>
        </is>
      </c>
      <c r="G237" t="inlineStr">
        <is>
          <t>First Class</t>
        </is>
      </c>
      <c r="H237" t="n">
        <v>6</v>
      </c>
      <c r="I237" s="11" t="n">
        <v>17.08</v>
      </c>
      <c r="J237" s="12" t="n">
        <v>0.1</v>
      </c>
      <c r="K237" s="11" t="n">
        <v>92.23</v>
      </c>
      <c r="L237" s="11" t="n">
        <v>31.79</v>
      </c>
      <c r="M237" s="12" t="n">
        <v>0.3447</v>
      </c>
    </row>
    <row r="238">
      <c r="A238" t="inlineStr">
        <is>
          <t>ORD-11305</t>
        </is>
      </c>
      <c r="B238" s="10" t="inlineStr">
        <is>
          <t>2024-03-20</t>
        </is>
      </c>
      <c r="C238" t="inlineStr">
        <is>
          <t>Customer 104</t>
        </is>
      </c>
      <c r="D238" t="inlineStr">
        <is>
          <t>North</t>
        </is>
      </c>
      <c r="E238" t="inlineStr">
        <is>
          <t>Furniture</t>
        </is>
      </c>
      <c r="F238" t="inlineStr">
        <is>
          <t>Bookcase</t>
        </is>
      </c>
      <c r="G238" t="inlineStr">
        <is>
          <t>Second Class</t>
        </is>
      </c>
      <c r="H238" t="n">
        <v>3</v>
      </c>
      <c r="I238" s="11" t="n">
        <v>747.97</v>
      </c>
      <c r="J238" s="12" t="n">
        <v>0</v>
      </c>
      <c r="K238" s="11" t="n">
        <v>2243.91</v>
      </c>
      <c r="L238" s="11" t="n">
        <v>663.25</v>
      </c>
      <c r="M238" s="12" t="n">
        <v>0.2956</v>
      </c>
    </row>
    <row r="239">
      <c r="A239" t="inlineStr">
        <is>
          <t>ORD-10508</t>
        </is>
      </c>
      <c r="B239" s="10" t="inlineStr">
        <is>
          <t>2024-03-21</t>
        </is>
      </c>
      <c r="C239" t="inlineStr">
        <is>
          <t>Customer 156</t>
        </is>
      </c>
      <c r="D239" t="inlineStr">
        <is>
          <t>East</t>
        </is>
      </c>
      <c r="E239" t="inlineStr">
        <is>
          <t>Office Supplies</t>
        </is>
      </c>
      <c r="F239" t="inlineStr">
        <is>
          <t>Paper</t>
        </is>
      </c>
      <c r="G239" t="inlineStr">
        <is>
          <t>Same Day</t>
        </is>
      </c>
      <c r="H239" t="n">
        <v>9</v>
      </c>
      <c r="I239" s="11" t="n">
        <v>831.89</v>
      </c>
      <c r="J239" s="12" t="n">
        <v>0</v>
      </c>
      <c r="K239" s="11" t="n">
        <v>7487.01</v>
      </c>
      <c r="L239" s="11" t="n">
        <v>3563.15</v>
      </c>
      <c r="M239" s="12" t="n">
        <v>0.4759</v>
      </c>
    </row>
    <row r="240">
      <c r="A240" t="inlineStr">
        <is>
          <t>ORD-10716</t>
        </is>
      </c>
      <c r="B240" s="10" t="inlineStr">
        <is>
          <t>2024-03-21</t>
        </is>
      </c>
      <c r="C240" t="inlineStr">
        <is>
          <t>Customer 9</t>
        </is>
      </c>
      <c r="D240" t="inlineStr">
        <is>
          <t>North</t>
        </is>
      </c>
      <c r="E240" t="inlineStr">
        <is>
          <t>Technology</t>
        </is>
      </c>
      <c r="F240" t="inlineStr">
        <is>
          <t>Wireless Mouse</t>
        </is>
      </c>
      <c r="G240" t="inlineStr">
        <is>
          <t>Second Class</t>
        </is>
      </c>
      <c r="H240" t="n">
        <v>11</v>
      </c>
      <c r="I240" s="11" t="n">
        <v>240.02</v>
      </c>
      <c r="J240" s="12" t="n">
        <v>0</v>
      </c>
      <c r="K240" s="11" t="n">
        <v>2640.22</v>
      </c>
      <c r="L240" s="11" t="n">
        <v>983.65</v>
      </c>
      <c r="M240" s="12" t="n">
        <v>0.3726</v>
      </c>
    </row>
    <row r="241">
      <c r="A241" t="inlineStr">
        <is>
          <t>ORD-10448</t>
        </is>
      </c>
      <c r="B241" s="10" t="inlineStr">
        <is>
          <t>2024-03-21</t>
        </is>
      </c>
      <c r="C241" t="inlineStr">
        <is>
          <t>Customer 185</t>
        </is>
      </c>
      <c r="D241" t="inlineStr">
        <is>
          <t>South</t>
        </is>
      </c>
      <c r="E241" t="inlineStr">
        <is>
          <t>Technology</t>
        </is>
      </c>
      <c r="F241" t="inlineStr">
        <is>
          <t>Printer</t>
        </is>
      </c>
      <c r="G241" t="inlineStr">
        <is>
          <t>Standard Class</t>
        </is>
      </c>
      <c r="H241" t="n">
        <v>6</v>
      </c>
      <c r="I241" s="11" t="n">
        <v>643.55</v>
      </c>
      <c r="J241" s="12" t="n">
        <v>0</v>
      </c>
      <c r="K241" s="11" t="n">
        <v>540.05</v>
      </c>
      <c r="L241" s="11" t="n">
        <v>646.9449999999999</v>
      </c>
      <c r="M241" s="12" t="n">
        <v>1.1979</v>
      </c>
    </row>
    <row r="242">
      <c r="A242" t="inlineStr">
        <is>
          <t>ORD-11520</t>
        </is>
      </c>
      <c r="B242" s="10" t="inlineStr">
        <is>
          <t>2024-03-21</t>
        </is>
      </c>
      <c r="C242" t="inlineStr">
        <is>
          <t>Customer 48</t>
        </is>
      </c>
      <c r="D242" t="inlineStr">
        <is>
          <t>West</t>
        </is>
      </c>
      <c r="E242" t="inlineStr">
        <is>
          <t>Technology</t>
        </is>
      </c>
      <c r="F242" t="inlineStr">
        <is>
          <t>Printer</t>
        </is>
      </c>
      <c r="G242" t="inlineStr">
        <is>
          <t>Standard Class</t>
        </is>
      </c>
      <c r="H242" t="n">
        <v>11</v>
      </c>
      <c r="I242" s="11" t="n">
        <v>852.84</v>
      </c>
      <c r="J242" s="12" t="n">
        <v>0.15</v>
      </c>
      <c r="K242" s="11" t="n">
        <v>7974.05</v>
      </c>
      <c r="L242" s="11" t="n">
        <v>2937.73</v>
      </c>
      <c r="M242" s="12" t="n">
        <v>0.3684</v>
      </c>
    </row>
    <row r="243">
      <c r="A243" t="inlineStr">
        <is>
          <t>ORD-10948</t>
        </is>
      </c>
      <c r="B243" s="10" t="inlineStr">
        <is>
          <t>2024-03-21</t>
        </is>
      </c>
      <c r="C243" t="inlineStr">
        <is>
          <t>Customer 118</t>
        </is>
      </c>
      <c r="D243" t="inlineStr">
        <is>
          <t>North</t>
        </is>
      </c>
      <c r="E243" t="inlineStr">
        <is>
          <t>Office Supplies</t>
        </is>
      </c>
      <c r="F243" t="inlineStr">
        <is>
          <t>Stapler</t>
        </is>
      </c>
      <c r="G243" t="inlineStr">
        <is>
          <t>Standard Class</t>
        </is>
      </c>
      <c r="H243" t="n">
        <v>10</v>
      </c>
      <c r="I243" s="11" t="n">
        <v>581.22</v>
      </c>
      <c r="J243" s="12" t="n">
        <v>0</v>
      </c>
      <c r="K243" s="11" t="n">
        <v>5812.2</v>
      </c>
      <c r="L243" s="11" t="n">
        <v>1105.94</v>
      </c>
      <c r="M243" s="12" t="n">
        <v>0.1903</v>
      </c>
    </row>
    <row r="244">
      <c r="A244" t="inlineStr">
        <is>
          <t>ORD-10261</t>
        </is>
      </c>
      <c r="B244" s="10" t="inlineStr">
        <is>
          <t>2024-03-22</t>
        </is>
      </c>
      <c r="C244" t="inlineStr">
        <is>
          <t>Customer 4</t>
        </is>
      </c>
      <c r="D244" t="inlineStr">
        <is>
          <t>South</t>
        </is>
      </c>
      <c r="E244" t="inlineStr">
        <is>
          <t>Office Supplies</t>
        </is>
      </c>
      <c r="F244" t="inlineStr">
        <is>
          <t>Paper</t>
        </is>
      </c>
      <c r="G244" t="inlineStr">
        <is>
          <t>Same Day</t>
        </is>
      </c>
      <c r="H244" t="n">
        <v>4</v>
      </c>
      <c r="I244" s="11" t="n">
        <v>263.86</v>
      </c>
      <c r="J244" s="12" t="n">
        <v>0.1</v>
      </c>
      <c r="K244" s="11" t="n">
        <v>949.9</v>
      </c>
      <c r="L244" s="11" t="n">
        <v>86.09999999999999</v>
      </c>
      <c r="M244" s="12" t="n">
        <v>0.0906</v>
      </c>
    </row>
    <row r="245">
      <c r="A245" t="inlineStr">
        <is>
          <t>ORD-10561</t>
        </is>
      </c>
      <c r="B245" s="10" t="inlineStr">
        <is>
          <t>2024-03-22</t>
        </is>
      </c>
      <c r="C245" t="inlineStr">
        <is>
          <t>Customer 113</t>
        </is>
      </c>
      <c r="D245" t="inlineStr">
        <is>
          <t>East</t>
        </is>
      </c>
      <c r="E245" t="inlineStr">
        <is>
          <t>Furniture</t>
        </is>
      </c>
      <c r="F245" t="inlineStr">
        <is>
          <t>Desk</t>
        </is>
      </c>
      <c r="G245" t="inlineStr">
        <is>
          <t>Standard Class</t>
        </is>
      </c>
      <c r="H245" t="n">
        <v>3</v>
      </c>
      <c r="I245" s="11" t="n">
        <v>1028.51</v>
      </c>
      <c r="J245" s="12" t="n">
        <v>0</v>
      </c>
      <c r="K245" s="11" t="n">
        <v>3085.53</v>
      </c>
      <c r="L245" s="11" t="n">
        <v>1445.42</v>
      </c>
      <c r="M245" s="12" t="n">
        <v>0.4685</v>
      </c>
    </row>
    <row r="246">
      <c r="A246" t="inlineStr">
        <is>
          <t>ORD-10098</t>
        </is>
      </c>
      <c r="B246" s="10" t="inlineStr">
        <is>
          <t>2024-03-22</t>
        </is>
      </c>
      <c r="C246" t="inlineStr">
        <is>
          <t>Customer 42</t>
        </is>
      </c>
      <c r="D246" t="inlineStr">
        <is>
          <t>West</t>
        </is>
      </c>
      <c r="E246" t="inlineStr">
        <is>
          <t>Furniture</t>
        </is>
      </c>
      <c r="F246" t="inlineStr">
        <is>
          <t>Chair</t>
        </is>
      </c>
      <c r="G246" t="inlineStr">
        <is>
          <t>Standard Class</t>
        </is>
      </c>
      <c r="H246" t="n">
        <v>10</v>
      </c>
      <c r="I246" s="11" t="n">
        <v>464.48</v>
      </c>
      <c r="J246" s="12" t="n">
        <v>0</v>
      </c>
      <c r="K246" s="11" t="n">
        <v>4644.8</v>
      </c>
      <c r="L246" s="11" t="n">
        <v>1187.37</v>
      </c>
      <c r="M246" s="12" t="n">
        <v>0.2556</v>
      </c>
    </row>
    <row r="247">
      <c r="A247" t="inlineStr">
        <is>
          <t>ORD-11898</t>
        </is>
      </c>
      <c r="B247" s="10" t="inlineStr">
        <is>
          <t>2024-03-23</t>
        </is>
      </c>
      <c r="C247" t="inlineStr">
        <is>
          <t>Customer 5</t>
        </is>
      </c>
      <c r="D247" t="inlineStr">
        <is>
          <t>South</t>
        </is>
      </c>
      <c r="E247" t="inlineStr">
        <is>
          <t>Furniture</t>
        </is>
      </c>
      <c r="F247" t="inlineStr">
        <is>
          <t>Table Lamp</t>
        </is>
      </c>
      <c r="G247" t="inlineStr">
        <is>
          <t>Standard Class</t>
        </is>
      </c>
      <c r="H247" t="n">
        <v>2</v>
      </c>
      <c r="I247" s="11" t="n">
        <v>1169.22</v>
      </c>
      <c r="J247" s="12" t="n">
        <v>0.1</v>
      </c>
      <c r="K247" s="11" t="n">
        <v>2104.6</v>
      </c>
      <c r="L247" s="11" t="n">
        <v>522.9299999999999</v>
      </c>
      <c r="M247" s="12" t="n">
        <v>0.2485</v>
      </c>
    </row>
    <row r="248">
      <c r="A248" t="inlineStr">
        <is>
          <t>ORD-11933</t>
        </is>
      </c>
      <c r="B248" s="10" t="inlineStr">
        <is>
          <t>2024-03-24</t>
        </is>
      </c>
      <c r="C248" t="inlineStr">
        <is>
          <t>Customer 78</t>
        </is>
      </c>
      <c r="D248" t="inlineStr">
        <is>
          <t>North</t>
        </is>
      </c>
      <c r="E248" t="inlineStr">
        <is>
          <t>Office Supplies</t>
        </is>
      </c>
      <c r="F248" t="inlineStr">
        <is>
          <t>Binder</t>
        </is>
      </c>
      <c r="G248" t="inlineStr">
        <is>
          <t>Standard Class</t>
        </is>
      </c>
      <c r="H248" t="n">
        <v>3</v>
      </c>
      <c r="I248" s="11" t="n">
        <v>1144.02</v>
      </c>
      <c r="J248" s="12" t="n">
        <v>0</v>
      </c>
      <c r="K248" s="11" t="n">
        <v>3432.06</v>
      </c>
      <c r="L248" s="11" t="n">
        <v>1045.93</v>
      </c>
      <c r="M248" s="12" t="n">
        <v>0.3048</v>
      </c>
    </row>
    <row r="249">
      <c r="A249" t="inlineStr">
        <is>
          <t>ORD-11641</t>
        </is>
      </c>
      <c r="B249" s="10" t="inlineStr">
        <is>
          <t>2024-03-24</t>
        </is>
      </c>
      <c r="C249" t="inlineStr">
        <is>
          <t>Customer 74</t>
        </is>
      </c>
      <c r="D249" t="inlineStr">
        <is>
          <t>North</t>
        </is>
      </c>
      <c r="E249" t="inlineStr">
        <is>
          <t>Furniture</t>
        </is>
      </c>
      <c r="F249" t="inlineStr">
        <is>
          <t>Table Lamp</t>
        </is>
      </c>
      <c r="G249" t="inlineStr">
        <is>
          <t>First Class</t>
        </is>
      </c>
      <c r="H249" t="n">
        <v>8</v>
      </c>
      <c r="I249" s="11" t="n">
        <v>261.48</v>
      </c>
      <c r="J249" s="12" t="n">
        <v>0.15</v>
      </c>
      <c r="K249" s="11" t="n">
        <v>1778.06</v>
      </c>
      <c r="L249" s="11" t="n">
        <v>266.7</v>
      </c>
      <c r="M249" s="12" t="n">
        <v>0.15</v>
      </c>
    </row>
    <row r="250">
      <c r="A250" t="inlineStr">
        <is>
          <t>ORD-10974</t>
        </is>
      </c>
      <c r="B250" s="10" t="inlineStr">
        <is>
          <t>2024-03-24</t>
        </is>
      </c>
      <c r="C250" t="inlineStr">
        <is>
          <t>Customer 171</t>
        </is>
      </c>
      <c r="D250" t="inlineStr">
        <is>
          <t>North</t>
        </is>
      </c>
      <c r="E250" t="inlineStr">
        <is>
          <t>Office Supplies</t>
        </is>
      </c>
      <c r="F250" t="inlineStr">
        <is>
          <t>Paper</t>
        </is>
      </c>
      <c r="G250" t="inlineStr">
        <is>
          <t>Second Class</t>
        </is>
      </c>
      <c r="H250" t="n">
        <v>4</v>
      </c>
      <c r="I250" s="11" t="n">
        <v>477.02</v>
      </c>
      <c r="J250" s="12" t="n">
        <v>0</v>
      </c>
      <c r="K250" s="11" t="n">
        <v>1908.08</v>
      </c>
      <c r="L250" s="11" t="n">
        <v>862.91</v>
      </c>
      <c r="M250" s="12" t="n">
        <v>0.4522</v>
      </c>
    </row>
    <row r="251">
      <c r="A251" t="inlineStr">
        <is>
          <t>ORD-10379</t>
        </is>
      </c>
      <c r="B251" s="10" t="inlineStr">
        <is>
          <t>2024-03-25</t>
        </is>
      </c>
      <c r="C251" t="inlineStr">
        <is>
          <t>Customer 118</t>
        </is>
      </c>
      <c r="D251" t="inlineStr">
        <is>
          <t>North</t>
        </is>
      </c>
      <c r="E251" t="inlineStr">
        <is>
          <t>Furniture</t>
        </is>
      </c>
      <c r="F251" t="inlineStr">
        <is>
          <t>Desk</t>
        </is>
      </c>
      <c r="G251" t="inlineStr">
        <is>
          <t>Standard Class</t>
        </is>
      </c>
      <c r="H251" t="n">
        <v>6</v>
      </c>
      <c r="I251" s="11" t="n">
        <v>42.04</v>
      </c>
      <c r="J251" s="12" t="n">
        <v>0</v>
      </c>
      <c r="K251" s="11" t="n">
        <v>252.24</v>
      </c>
      <c r="L251" s="11" t="n">
        <v>66.23999999999999</v>
      </c>
      <c r="M251" s="12" t="n">
        <v>0.2626</v>
      </c>
    </row>
    <row r="252">
      <c r="A252" t="inlineStr">
        <is>
          <t>ORD-11406</t>
        </is>
      </c>
      <c r="B252" s="10" t="inlineStr">
        <is>
          <t>2024-03-25</t>
        </is>
      </c>
      <c r="C252" t="inlineStr">
        <is>
          <t>Customer 79</t>
        </is>
      </c>
      <c r="D252" t="inlineStr">
        <is>
          <t>East</t>
        </is>
      </c>
      <c r="E252" t="inlineStr">
        <is>
          <t>Office Supplies</t>
        </is>
      </c>
      <c r="F252" t="inlineStr">
        <is>
          <t>Pens (Box)</t>
        </is>
      </c>
      <c r="G252" t="inlineStr">
        <is>
          <t>Same Day</t>
        </is>
      </c>
      <c r="H252" t="n">
        <v>9</v>
      </c>
      <c r="I252" s="11" t="n">
        <v>369.62</v>
      </c>
      <c r="J252" s="12" t="n">
        <v>0</v>
      </c>
      <c r="K252" s="11" t="n">
        <v>3326.58</v>
      </c>
      <c r="L252" s="11" t="n">
        <v>867.75</v>
      </c>
      <c r="M252" s="12" t="n">
        <v>0.2609</v>
      </c>
    </row>
    <row r="253">
      <c r="A253" t="inlineStr">
        <is>
          <t>ORD-10178</t>
        </is>
      </c>
      <c r="B253" s="10" t="inlineStr">
        <is>
          <t>2024-03-25</t>
        </is>
      </c>
      <c r="C253" t="inlineStr">
        <is>
          <t>Customer 173</t>
        </is>
      </c>
      <c r="D253" t="inlineStr">
        <is>
          <t>West</t>
        </is>
      </c>
      <c r="E253" t="inlineStr">
        <is>
          <t>Office Supplies</t>
        </is>
      </c>
      <c r="F253" t="inlineStr">
        <is>
          <t>Paper</t>
        </is>
      </c>
      <c r="G253" t="inlineStr">
        <is>
          <t>Same Day</t>
        </is>
      </c>
      <c r="H253" t="n">
        <v>1</v>
      </c>
      <c r="I253" s="11" t="n">
        <v>745.39</v>
      </c>
      <c r="J253" s="12" t="n">
        <v>0</v>
      </c>
      <c r="K253" s="11" t="n">
        <v>745.39</v>
      </c>
      <c r="L253" s="11" t="n">
        <v>150.32</v>
      </c>
      <c r="M253" s="12" t="n">
        <v>0.2017</v>
      </c>
    </row>
    <row r="254">
      <c r="A254" t="inlineStr">
        <is>
          <t>ORD-10891</t>
        </is>
      </c>
      <c r="B254" s="10" t="inlineStr">
        <is>
          <t>2024-03-26</t>
        </is>
      </c>
      <c r="C254" t="inlineStr">
        <is>
          <t>Customer 182</t>
        </is>
      </c>
      <c r="D254" t="inlineStr">
        <is>
          <t>North</t>
        </is>
      </c>
      <c r="E254" t="inlineStr">
        <is>
          <t>Furniture</t>
        </is>
      </c>
      <c r="F254" t="inlineStr">
        <is>
          <t>Desk</t>
        </is>
      </c>
      <c r="G254" t="inlineStr">
        <is>
          <t>Same Day</t>
        </is>
      </c>
      <c r="H254" t="n">
        <v>3</v>
      </c>
      <c r="I254" s="11" t="n">
        <v>193.87</v>
      </c>
      <c r="J254" s="12" t="n">
        <v>0.15</v>
      </c>
      <c r="K254" s="11" t="n">
        <v>494.37</v>
      </c>
      <c r="L254" s="11" t="n">
        <v>186.29</v>
      </c>
      <c r="M254" s="12" t="n">
        <v>0.3768</v>
      </c>
    </row>
    <row r="255">
      <c r="A255" t="inlineStr">
        <is>
          <t>ORD-10191</t>
        </is>
      </c>
      <c r="B255" s="10" t="inlineStr">
        <is>
          <t>2024-03-26</t>
        </is>
      </c>
      <c r="C255" t="inlineStr">
        <is>
          <t>Customer 87</t>
        </is>
      </c>
      <c r="D255" t="inlineStr">
        <is>
          <t>North</t>
        </is>
      </c>
      <c r="E255" t="inlineStr">
        <is>
          <t>Office Supplies</t>
        </is>
      </c>
      <c r="F255" t="inlineStr">
        <is>
          <t>Pens (Box)</t>
        </is>
      </c>
      <c r="G255" t="inlineStr">
        <is>
          <t>Second Class</t>
        </is>
      </c>
      <c r="H255" t="n">
        <v>3</v>
      </c>
      <c r="I255" s="11" t="n">
        <v>715.16</v>
      </c>
      <c r="J255" s="12" t="n">
        <v>0.15</v>
      </c>
      <c r="K255" s="11" t="n">
        <v>1823.66</v>
      </c>
      <c r="L255" s="11" t="n">
        <v>469.73</v>
      </c>
      <c r="M255" s="12" t="n">
        <v>0.2576</v>
      </c>
    </row>
    <row r="256">
      <c r="A256" t="inlineStr">
        <is>
          <t>ORD-10239</t>
        </is>
      </c>
      <c r="B256" s="10" t="inlineStr">
        <is>
          <t>2024-03-27</t>
        </is>
      </c>
      <c r="C256" t="inlineStr">
        <is>
          <t>Customer 45</t>
        </is>
      </c>
      <c r="D256" t="inlineStr">
        <is>
          <t>North</t>
        </is>
      </c>
      <c r="E256" t="inlineStr">
        <is>
          <t>Office Supplies</t>
        </is>
      </c>
      <c r="F256" t="inlineStr">
        <is>
          <t>Paper</t>
        </is>
      </c>
      <c r="G256" t="inlineStr">
        <is>
          <t>Second Class</t>
        </is>
      </c>
      <c r="H256" t="n">
        <v>10</v>
      </c>
      <c r="I256" s="11" t="n">
        <v>964.25</v>
      </c>
      <c r="J256" s="12" t="n">
        <v>0</v>
      </c>
      <c r="K256" s="11" t="n">
        <v>9642.5</v>
      </c>
      <c r="L256" s="11" t="n">
        <v>3896.08</v>
      </c>
      <c r="M256" s="12" t="n">
        <v>0.4041</v>
      </c>
    </row>
    <row r="257">
      <c r="A257" t="inlineStr">
        <is>
          <t>ORD-11174</t>
        </is>
      </c>
      <c r="B257" s="10" t="inlineStr">
        <is>
          <t>2024-03-27</t>
        </is>
      </c>
      <c r="C257" t="inlineStr">
        <is>
          <t>Customer 12</t>
        </is>
      </c>
      <c r="D257" t="inlineStr">
        <is>
          <t>West</t>
        </is>
      </c>
      <c r="E257" t="inlineStr">
        <is>
          <t>Office Supplies</t>
        </is>
      </c>
      <c r="F257" t="inlineStr">
        <is>
          <t>Binder</t>
        </is>
      </c>
      <c r="G257" t="inlineStr">
        <is>
          <t>First Class</t>
        </is>
      </c>
      <c r="H257" t="n">
        <v>10</v>
      </c>
      <c r="I257" s="11" t="n">
        <v>322.81</v>
      </c>
      <c r="J257" s="12" t="n">
        <v>0</v>
      </c>
      <c r="K257" s="11" t="n">
        <v>3228.1</v>
      </c>
      <c r="L257" s="11" t="n">
        <v>1442.27</v>
      </c>
      <c r="M257" s="12" t="n">
        <v>0.4468</v>
      </c>
    </row>
    <row r="258">
      <c r="A258" t="inlineStr">
        <is>
          <t>ORD-10023</t>
        </is>
      </c>
      <c r="B258" s="10" t="inlineStr">
        <is>
          <t>2024-03-27</t>
        </is>
      </c>
      <c r="C258" t="inlineStr">
        <is>
          <t>Customer 76</t>
        </is>
      </c>
      <c r="D258" t="inlineStr">
        <is>
          <t>South</t>
        </is>
      </c>
      <c r="E258" t="inlineStr">
        <is>
          <t>Technology</t>
        </is>
      </c>
      <c r="F258" t="inlineStr">
        <is>
          <t>Wireless Mouse</t>
        </is>
      </c>
      <c r="G258" t="inlineStr">
        <is>
          <t>Same Day</t>
        </is>
      </c>
      <c r="H258" t="n">
        <v>7</v>
      </c>
      <c r="I258" s="11" t="n">
        <v>1041.95</v>
      </c>
      <c r="J258" s="12" t="n">
        <v>0</v>
      </c>
      <c r="K258" s="11" t="n">
        <v>7293.65</v>
      </c>
      <c r="L258" s="11" t="n">
        <v>2593.62</v>
      </c>
      <c r="M258" s="12" t="n">
        <v>0.3556</v>
      </c>
    </row>
    <row r="259">
      <c r="A259" t="inlineStr">
        <is>
          <t>ORD-11786</t>
        </is>
      </c>
      <c r="B259" s="10" t="inlineStr">
        <is>
          <t>2024-03-27</t>
        </is>
      </c>
      <c r="C259" t="inlineStr">
        <is>
          <t>Customer 162</t>
        </is>
      </c>
      <c r="D259" t="inlineStr">
        <is>
          <t>East</t>
        </is>
      </c>
      <c r="E259" t="inlineStr">
        <is>
          <t>Office Supplies</t>
        </is>
      </c>
      <c r="F259" t="inlineStr">
        <is>
          <t>Stapler</t>
        </is>
      </c>
      <c r="G259" t="inlineStr">
        <is>
          <t>Second Class</t>
        </is>
      </c>
      <c r="H259" t="n">
        <v>1</v>
      </c>
      <c r="I259" s="11" t="n">
        <v>515.02</v>
      </c>
      <c r="J259" s="12" t="n">
        <v>0</v>
      </c>
      <c r="K259" s="11" t="n">
        <v>515.02</v>
      </c>
      <c r="L259" s="11" t="n">
        <v>243.1</v>
      </c>
      <c r="M259" s="12" t="n">
        <v>0.472</v>
      </c>
    </row>
    <row r="260">
      <c r="A260" t="inlineStr">
        <is>
          <t>ORD-11735</t>
        </is>
      </c>
      <c r="B260" s="10" t="inlineStr">
        <is>
          <t>2024-03-28</t>
        </is>
      </c>
      <c r="C260" t="inlineStr">
        <is>
          <t>Customer 193</t>
        </is>
      </c>
      <c r="D260" t="inlineStr">
        <is>
          <t>East</t>
        </is>
      </c>
      <c r="E260" t="inlineStr">
        <is>
          <t>Technology</t>
        </is>
      </c>
      <c r="F260" t="inlineStr">
        <is>
          <t>Wireless Mouse</t>
        </is>
      </c>
      <c r="G260" t="inlineStr">
        <is>
          <t>Standard Class</t>
        </is>
      </c>
      <c r="H260" t="n">
        <v>2</v>
      </c>
      <c r="I260" s="11" t="n">
        <v>1152.3</v>
      </c>
      <c r="J260" s="12" t="n">
        <v>0</v>
      </c>
      <c r="K260" s="11" t="n">
        <v>2304.6</v>
      </c>
      <c r="L260" s="11" t="n">
        <v>1099.48</v>
      </c>
      <c r="M260" s="12" t="n">
        <v>0.4771</v>
      </c>
    </row>
    <row r="261">
      <c r="A261" t="inlineStr">
        <is>
          <t>ORD-11517</t>
        </is>
      </c>
      <c r="B261" s="10" t="inlineStr">
        <is>
          <t>2024-03-28</t>
        </is>
      </c>
      <c r="C261" t="inlineStr">
        <is>
          <t>Customer 121</t>
        </is>
      </c>
      <c r="D261" t="inlineStr">
        <is>
          <t>South</t>
        </is>
      </c>
      <c r="E261" t="inlineStr">
        <is>
          <t>Office Supplies</t>
        </is>
      </c>
      <c r="F261" t="inlineStr">
        <is>
          <t>Stapler</t>
        </is>
      </c>
      <c r="G261" t="inlineStr">
        <is>
          <t>Standard Class</t>
        </is>
      </c>
      <c r="H261" t="n">
        <v>6</v>
      </c>
      <c r="I261" s="11" t="n">
        <v>894.78</v>
      </c>
      <c r="J261" s="12" t="n">
        <v>0</v>
      </c>
      <c r="K261" s="11" t="n">
        <v>5368.68</v>
      </c>
      <c r="L261" s="11" t="n">
        <v>1845.63</v>
      </c>
      <c r="M261" s="12" t="n">
        <v>0.3438</v>
      </c>
    </row>
    <row r="262">
      <c r="A262" t="inlineStr">
        <is>
          <t>ORD-10066</t>
        </is>
      </c>
      <c r="B262" s="10" t="inlineStr">
        <is>
          <t>2024-03-28</t>
        </is>
      </c>
      <c r="C262" t="inlineStr">
        <is>
          <t>Customer 90</t>
        </is>
      </c>
      <c r="D262" t="inlineStr">
        <is>
          <t>West</t>
        </is>
      </c>
      <c r="E262" t="inlineStr">
        <is>
          <t>Furniture</t>
        </is>
      </c>
      <c r="F262" t="inlineStr">
        <is>
          <t>Bookcase</t>
        </is>
      </c>
      <c r="G262" t="inlineStr">
        <is>
          <t>Same Day</t>
        </is>
      </c>
      <c r="H262" t="n">
        <v>8</v>
      </c>
      <c r="I262" s="11" t="n">
        <v>441.08</v>
      </c>
      <c r="J262" s="12" t="n">
        <v>0.3</v>
      </c>
      <c r="K262" s="11" t="n">
        <v>2470.05</v>
      </c>
      <c r="L262" s="11" t="n">
        <v>-523.6900000000001</v>
      </c>
      <c r="M262" s="12" t="n">
        <v>-0.212</v>
      </c>
    </row>
    <row r="263">
      <c r="A263" t="inlineStr">
        <is>
          <t>ORD-10058</t>
        </is>
      </c>
      <c r="B263" s="10" t="inlineStr">
        <is>
          <t>2024-03-28</t>
        </is>
      </c>
      <c r="C263" t="inlineStr">
        <is>
          <t>Customer 97</t>
        </is>
      </c>
      <c r="D263" t="inlineStr">
        <is>
          <t>North</t>
        </is>
      </c>
      <c r="E263" t="inlineStr">
        <is>
          <t>Office Supplies</t>
        </is>
      </c>
      <c r="F263" t="inlineStr">
        <is>
          <t>Binder</t>
        </is>
      </c>
      <c r="G263" t="inlineStr">
        <is>
          <t>Second Class</t>
        </is>
      </c>
      <c r="H263" t="n">
        <v>2</v>
      </c>
      <c r="I263" s="11" t="n">
        <v>165.24</v>
      </c>
      <c r="J263" s="12" t="n">
        <v>0</v>
      </c>
      <c r="K263" s="11" t="n">
        <v>330.48</v>
      </c>
      <c r="L263" s="11" t="n">
        <v>130</v>
      </c>
      <c r="M263" s="12" t="n">
        <v>0.3934</v>
      </c>
    </row>
    <row r="264">
      <c r="A264" t="inlineStr">
        <is>
          <t>ORD-10975</t>
        </is>
      </c>
      <c r="B264" s="10" t="inlineStr">
        <is>
          <t>2024-03-29</t>
        </is>
      </c>
      <c r="C264" t="inlineStr">
        <is>
          <t>Customer 131</t>
        </is>
      </c>
      <c r="D264" t="inlineStr">
        <is>
          <t>East</t>
        </is>
      </c>
      <c r="E264" t="inlineStr">
        <is>
          <t>Technology</t>
        </is>
      </c>
      <c r="F264" t="inlineStr">
        <is>
          <t>Monitor</t>
        </is>
      </c>
      <c r="G264" t="inlineStr">
        <is>
          <t>Same Day</t>
        </is>
      </c>
      <c r="H264" t="n">
        <v>2</v>
      </c>
      <c r="I264" s="11" t="n">
        <v>1100.41</v>
      </c>
      <c r="J264" s="12" t="n">
        <v>0</v>
      </c>
      <c r="K264" s="11" t="n">
        <v>2200.82</v>
      </c>
      <c r="L264" s="11" t="n">
        <v>801.13</v>
      </c>
      <c r="M264" s="12" t="n">
        <v>0.364</v>
      </c>
    </row>
    <row r="265">
      <c r="A265" t="inlineStr">
        <is>
          <t>ORD-10045</t>
        </is>
      </c>
      <c r="B265" s="10" t="inlineStr">
        <is>
          <t>2024-03-30</t>
        </is>
      </c>
      <c r="C265" t="inlineStr">
        <is>
          <t>Customer 150</t>
        </is>
      </c>
      <c r="D265" t="inlineStr">
        <is>
          <t>North</t>
        </is>
      </c>
      <c r="E265" t="inlineStr">
        <is>
          <t>Office Supplies</t>
        </is>
      </c>
      <c r="F265" t="inlineStr">
        <is>
          <t>Pens (Box)</t>
        </is>
      </c>
      <c r="G265" t="inlineStr">
        <is>
          <t>Second Class</t>
        </is>
      </c>
      <c r="H265" t="n">
        <v>11</v>
      </c>
      <c r="I265" s="11" t="n">
        <v>146.58</v>
      </c>
      <c r="J265" s="12" t="n">
        <v>0.15</v>
      </c>
      <c r="K265" s="11" t="n">
        <v>1370.52</v>
      </c>
      <c r="L265" s="11" t="n">
        <v>204.81</v>
      </c>
      <c r="M265" s="12" t="n">
        <v>0.1494</v>
      </c>
    </row>
    <row r="266">
      <c r="A266" t="inlineStr">
        <is>
          <t>ORD-10382</t>
        </is>
      </c>
      <c r="B266" s="10" t="inlineStr">
        <is>
          <t>2024-03-30</t>
        </is>
      </c>
      <c r="C266" t="inlineStr">
        <is>
          <t>Customer 66</t>
        </is>
      </c>
      <c r="D266" t="inlineStr">
        <is>
          <t>South</t>
        </is>
      </c>
      <c r="E266" t="inlineStr">
        <is>
          <t>Office Supplies</t>
        </is>
      </c>
      <c r="F266" t="inlineStr">
        <is>
          <t>Pens (Box)</t>
        </is>
      </c>
      <c r="G266" t="inlineStr">
        <is>
          <t>Standard Class</t>
        </is>
      </c>
      <c r="H266" t="n">
        <v>11</v>
      </c>
      <c r="I266" s="11" t="n">
        <v>1111.79</v>
      </c>
      <c r="J266" s="12" t="n">
        <v>0</v>
      </c>
      <c r="K266" s="11" t="n">
        <v>12229.69</v>
      </c>
      <c r="L266" s="11" t="n">
        <v>2535.58</v>
      </c>
      <c r="M266" s="12" t="n">
        <v>0.2073</v>
      </c>
    </row>
    <row r="267">
      <c r="A267" t="inlineStr">
        <is>
          <t>ORD-10431</t>
        </is>
      </c>
      <c r="B267" s="10" t="inlineStr">
        <is>
          <t>2024-03-31</t>
        </is>
      </c>
      <c r="C267" t="inlineStr">
        <is>
          <t>Customer 140</t>
        </is>
      </c>
      <c r="D267" t="inlineStr">
        <is>
          <t>South</t>
        </is>
      </c>
      <c r="E267" t="inlineStr">
        <is>
          <t>Furniture</t>
        </is>
      </c>
      <c r="F267" t="inlineStr">
        <is>
          <t>Desk</t>
        </is>
      </c>
      <c r="G267" t="inlineStr">
        <is>
          <t>Second Class</t>
        </is>
      </c>
      <c r="H267" t="n">
        <v>11</v>
      </c>
      <c r="I267" s="11" t="n">
        <v>248.8</v>
      </c>
      <c r="J267" s="12" t="n">
        <v>0</v>
      </c>
      <c r="K267" s="11" t="n">
        <v>2736.8</v>
      </c>
      <c r="L267" s="11" t="n">
        <v>966.01</v>
      </c>
      <c r="M267" s="12" t="n">
        <v>0.353</v>
      </c>
    </row>
    <row r="268">
      <c r="A268" t="inlineStr">
        <is>
          <t>ORD-10606</t>
        </is>
      </c>
      <c r="B268" s="10" t="inlineStr">
        <is>
          <t>2024-03-31</t>
        </is>
      </c>
      <c r="C268" t="inlineStr">
        <is>
          <t>Customer 34</t>
        </is>
      </c>
      <c r="D268" t="inlineStr">
        <is>
          <t>East</t>
        </is>
      </c>
      <c r="E268" t="inlineStr">
        <is>
          <t>Furniture</t>
        </is>
      </c>
      <c r="F268" t="inlineStr">
        <is>
          <t>Bookcase</t>
        </is>
      </c>
      <c r="G268" t="inlineStr">
        <is>
          <t>Second Class</t>
        </is>
      </c>
      <c r="H268" t="n">
        <v>9</v>
      </c>
      <c r="I268" s="11" t="n">
        <v>474.31</v>
      </c>
      <c r="J268" s="12" t="n">
        <v>0</v>
      </c>
      <c r="K268" s="11" t="n">
        <v>4268.79</v>
      </c>
      <c r="L268" s="11" t="n">
        <v>869.16</v>
      </c>
      <c r="M268" s="12" t="n">
        <v>0.2036</v>
      </c>
    </row>
    <row r="269">
      <c r="A269" t="inlineStr">
        <is>
          <t>ORD-10732</t>
        </is>
      </c>
      <c r="B269" s="10" t="inlineStr">
        <is>
          <t>2024-04-01</t>
        </is>
      </c>
      <c r="C269" t="inlineStr">
        <is>
          <t>Customer 146</t>
        </is>
      </c>
      <c r="D269" t="inlineStr">
        <is>
          <t>West</t>
        </is>
      </c>
      <c r="E269" t="inlineStr">
        <is>
          <t>Furniture</t>
        </is>
      </c>
      <c r="F269" t="inlineStr">
        <is>
          <t>Table Lamp</t>
        </is>
      </c>
      <c r="G269" t="inlineStr">
        <is>
          <t>First Class</t>
        </is>
      </c>
      <c r="H269" t="n">
        <v>4</v>
      </c>
      <c r="I269" s="11" t="n">
        <v>108.66</v>
      </c>
      <c r="J269" s="12" t="n">
        <v>0.2</v>
      </c>
      <c r="K269" s="11" t="n">
        <v>347.71</v>
      </c>
      <c r="L269" s="11" t="n">
        <v>59.95</v>
      </c>
      <c r="M269" s="12" t="n">
        <v>0.1724</v>
      </c>
    </row>
    <row r="270">
      <c r="A270" t="inlineStr">
        <is>
          <t>ORD-11137</t>
        </is>
      </c>
      <c r="B270" s="10" t="inlineStr">
        <is>
          <t>2024-04-02</t>
        </is>
      </c>
      <c r="C270" t="inlineStr">
        <is>
          <t>Customer 144</t>
        </is>
      </c>
      <c r="D270" t="inlineStr">
        <is>
          <t>South</t>
        </is>
      </c>
      <c r="E270" t="inlineStr">
        <is>
          <t>Furniture</t>
        </is>
      </c>
      <c r="F270" t="inlineStr">
        <is>
          <t>Chair</t>
        </is>
      </c>
      <c r="G270" t="inlineStr">
        <is>
          <t>Standard Class</t>
        </is>
      </c>
      <c r="H270" t="n">
        <v>9</v>
      </c>
      <c r="I270" s="11" t="n">
        <v>320.86</v>
      </c>
      <c r="J270" s="12" t="n">
        <v>0</v>
      </c>
      <c r="K270" s="11" t="n">
        <v>2887.74</v>
      </c>
      <c r="L270" s="11" t="n">
        <v>1281.42</v>
      </c>
      <c r="M270" s="12" t="n">
        <v>0.4437</v>
      </c>
    </row>
    <row r="271">
      <c r="A271" t="inlineStr">
        <is>
          <t>ORD-10968</t>
        </is>
      </c>
      <c r="B271" s="10" t="inlineStr">
        <is>
          <t>2024-04-03</t>
        </is>
      </c>
      <c r="C271" t="inlineStr">
        <is>
          <t>Customer 130</t>
        </is>
      </c>
      <c r="D271" t="inlineStr">
        <is>
          <t>East</t>
        </is>
      </c>
      <c r="E271" t="inlineStr">
        <is>
          <t>Technology</t>
        </is>
      </c>
      <c r="F271" t="inlineStr">
        <is>
          <t>Monitor</t>
        </is>
      </c>
      <c r="G271" t="inlineStr">
        <is>
          <t>First Class</t>
        </is>
      </c>
      <c r="H271" t="n">
        <v>2</v>
      </c>
      <c r="I271" s="11" t="n">
        <v>1171.61</v>
      </c>
      <c r="J271" s="12" t="n">
        <v>0</v>
      </c>
      <c r="K271" s="11" t="n">
        <v>2343.22</v>
      </c>
      <c r="L271" s="11" t="n">
        <v>1059.54</v>
      </c>
      <c r="M271" s="12" t="n">
        <v>0.4522</v>
      </c>
    </row>
    <row r="272">
      <c r="A272" t="inlineStr">
        <is>
          <t>ORD-11960</t>
        </is>
      </c>
      <c r="B272" s="10" t="inlineStr">
        <is>
          <t>2024-04-03</t>
        </is>
      </c>
      <c r="C272" t="inlineStr">
        <is>
          <t>Customer 199</t>
        </is>
      </c>
      <c r="D272" t="inlineStr">
        <is>
          <t>South</t>
        </is>
      </c>
      <c r="E272" t="inlineStr">
        <is>
          <t>Office Supplies</t>
        </is>
      </c>
      <c r="F272" t="inlineStr">
        <is>
          <t>Binder</t>
        </is>
      </c>
      <c r="G272" t="inlineStr">
        <is>
          <t>Same Day</t>
        </is>
      </c>
      <c r="H272" t="n">
        <v>7</v>
      </c>
      <c r="I272" s="11" t="n">
        <v>1121.25</v>
      </c>
      <c r="J272" s="12" t="n">
        <v>0</v>
      </c>
      <c r="K272" s="11" t="n">
        <v>7848.75</v>
      </c>
      <c r="L272" s="11" t="n">
        <v>2547.63</v>
      </c>
      <c r="M272" s="12" t="n">
        <v>0.3246</v>
      </c>
    </row>
    <row r="273">
      <c r="A273" t="inlineStr">
        <is>
          <t>ORD-10568</t>
        </is>
      </c>
      <c r="B273" s="10" t="inlineStr">
        <is>
          <t>2024-04-03</t>
        </is>
      </c>
      <c r="C273" t="inlineStr">
        <is>
          <t>Customer 34</t>
        </is>
      </c>
      <c r="D273" t="inlineStr">
        <is>
          <t>East</t>
        </is>
      </c>
      <c r="E273" t="inlineStr">
        <is>
          <t>Furniture</t>
        </is>
      </c>
      <c r="F273" t="inlineStr">
        <is>
          <t>Table Lamp</t>
        </is>
      </c>
      <c r="G273" t="inlineStr">
        <is>
          <t>Second Class</t>
        </is>
      </c>
      <c r="H273" t="n">
        <v>6</v>
      </c>
      <c r="I273" s="11" t="n">
        <v>422.06</v>
      </c>
      <c r="J273" s="12" t="n">
        <v>0.1</v>
      </c>
      <c r="K273" s="11" t="n">
        <v>2279.12</v>
      </c>
      <c r="L273" s="11" t="n">
        <v>816.5700000000001</v>
      </c>
      <c r="M273" s="12" t="n">
        <v>0.3583</v>
      </c>
    </row>
    <row r="274">
      <c r="A274" t="inlineStr">
        <is>
          <t>ORD-10255</t>
        </is>
      </c>
      <c r="B274" s="10" t="inlineStr">
        <is>
          <t>2024-04-03</t>
        </is>
      </c>
      <c r="C274" t="inlineStr">
        <is>
          <t>Customer 24</t>
        </is>
      </c>
      <c r="D274" t="inlineStr">
        <is>
          <t>West</t>
        </is>
      </c>
      <c r="E274" t="inlineStr">
        <is>
          <t>Furniture</t>
        </is>
      </c>
      <c r="F274" t="inlineStr">
        <is>
          <t>Chair</t>
        </is>
      </c>
      <c r="G274" t="inlineStr">
        <is>
          <t>Second Class</t>
        </is>
      </c>
      <c r="H274" t="n">
        <v>10</v>
      </c>
      <c r="I274" s="11" t="n">
        <v>975.04</v>
      </c>
      <c r="J274" s="12" t="n">
        <v>0</v>
      </c>
      <c r="K274" s="11" t="n">
        <v>9750.4</v>
      </c>
      <c r="L274" s="11" t="n">
        <v>2900.61</v>
      </c>
      <c r="M274" s="12" t="n">
        <v>0.2975</v>
      </c>
    </row>
    <row r="275">
      <c r="A275" t="inlineStr">
        <is>
          <t>ORD-10039</t>
        </is>
      </c>
      <c r="B275" s="10" t="inlineStr">
        <is>
          <t>2024-04-04</t>
        </is>
      </c>
      <c r="C275" t="inlineStr">
        <is>
          <t>Customer 98</t>
        </is>
      </c>
      <c r="D275" t="inlineStr">
        <is>
          <t>East</t>
        </is>
      </c>
      <c r="E275" t="inlineStr">
        <is>
          <t>Furniture</t>
        </is>
      </c>
      <c r="F275" t="inlineStr">
        <is>
          <t>Bookcase</t>
        </is>
      </c>
      <c r="G275" t="inlineStr">
        <is>
          <t>Standard Class</t>
        </is>
      </c>
      <c r="H275" t="n">
        <v>7</v>
      </c>
      <c r="I275" s="11" t="n">
        <v>118.58</v>
      </c>
      <c r="J275" s="12" t="n">
        <v>0</v>
      </c>
      <c r="K275" s="11" t="n">
        <v>830.0599999999999</v>
      </c>
      <c r="L275" s="11" t="n">
        <v>365.27</v>
      </c>
      <c r="M275" s="12" t="n">
        <v>0.4401</v>
      </c>
    </row>
    <row r="276">
      <c r="A276" t="inlineStr">
        <is>
          <t>ORD-11116</t>
        </is>
      </c>
      <c r="B276" s="10" t="inlineStr">
        <is>
          <t>2024-04-04</t>
        </is>
      </c>
      <c r="C276" t="inlineStr">
        <is>
          <t>Customer 31</t>
        </is>
      </c>
      <c r="D276" t="inlineStr">
        <is>
          <t>South</t>
        </is>
      </c>
      <c r="E276" t="inlineStr">
        <is>
          <t>Technology</t>
        </is>
      </c>
      <c r="F276" t="inlineStr">
        <is>
          <t>Monitor</t>
        </is>
      </c>
      <c r="G276" t="inlineStr">
        <is>
          <t>First Class</t>
        </is>
      </c>
      <c r="H276" t="n">
        <v>4</v>
      </c>
      <c r="I276" s="11" t="n">
        <v>49.04</v>
      </c>
      <c r="J276" s="12" t="n">
        <v>0</v>
      </c>
      <c r="K276" s="11" t="n">
        <v>196.16</v>
      </c>
      <c r="L276" s="11" t="n">
        <v>32.65</v>
      </c>
      <c r="M276" s="12" t="n">
        <v>0.1664</v>
      </c>
    </row>
    <row r="277">
      <c r="A277" t="inlineStr">
        <is>
          <t>ORD-11989</t>
        </is>
      </c>
      <c r="B277" s="10" t="inlineStr">
        <is>
          <t>2024-04-05</t>
        </is>
      </c>
      <c r="C277" t="inlineStr">
        <is>
          <t>Customer 92</t>
        </is>
      </c>
      <c r="D277" t="inlineStr">
        <is>
          <t>West</t>
        </is>
      </c>
      <c r="E277" t="inlineStr">
        <is>
          <t>Technology</t>
        </is>
      </c>
      <c r="F277" t="inlineStr">
        <is>
          <t>Printer</t>
        </is>
      </c>
      <c r="G277" t="inlineStr">
        <is>
          <t>Standard Class</t>
        </is>
      </c>
      <c r="H277" t="n">
        <v>2</v>
      </c>
      <c r="I277" s="11" t="n">
        <v>134.03</v>
      </c>
      <c r="J277" s="12" t="n">
        <v>0</v>
      </c>
      <c r="K277" s="11" t="n">
        <v>268.06</v>
      </c>
      <c r="L277" s="11" t="n">
        <v>99.56999999999999</v>
      </c>
      <c r="M277" s="12" t="n">
        <v>0.3714</v>
      </c>
    </row>
    <row r="278">
      <c r="A278" t="inlineStr">
        <is>
          <t>ORD-10302</t>
        </is>
      </c>
      <c r="B278" s="10" t="inlineStr">
        <is>
          <t>2024-04-05</t>
        </is>
      </c>
      <c r="C278" t="inlineStr">
        <is>
          <t>Customer 52</t>
        </is>
      </c>
      <c r="D278" t="inlineStr">
        <is>
          <t>North</t>
        </is>
      </c>
      <c r="E278" t="inlineStr">
        <is>
          <t>Furniture</t>
        </is>
      </c>
      <c r="F278" t="inlineStr">
        <is>
          <t>Desk</t>
        </is>
      </c>
      <c r="G278" t="inlineStr">
        <is>
          <t>First Class</t>
        </is>
      </c>
      <c r="H278" t="n">
        <v>1</v>
      </c>
      <c r="I278" s="11" t="n">
        <v>66.81</v>
      </c>
      <c r="J278" s="12" t="n">
        <v>0.2</v>
      </c>
      <c r="K278" s="11" t="n">
        <v>53.45</v>
      </c>
      <c r="L278" s="11" t="n">
        <v>13.83</v>
      </c>
      <c r="M278" s="12" t="n">
        <v>0.2587</v>
      </c>
    </row>
    <row r="279">
      <c r="A279" t="inlineStr">
        <is>
          <t>ORD-11733</t>
        </is>
      </c>
      <c r="B279" s="10" t="inlineStr">
        <is>
          <t>2024-04-06</t>
        </is>
      </c>
      <c r="C279" t="inlineStr">
        <is>
          <t>Customer 60</t>
        </is>
      </c>
      <c r="D279" t="inlineStr">
        <is>
          <t>East</t>
        </is>
      </c>
      <c r="E279" t="inlineStr">
        <is>
          <t>Furniture</t>
        </is>
      </c>
      <c r="F279" t="inlineStr">
        <is>
          <t>Table Lamp</t>
        </is>
      </c>
      <c r="G279" t="inlineStr">
        <is>
          <t>Second Class</t>
        </is>
      </c>
      <c r="H279" t="n">
        <v>2</v>
      </c>
      <c r="I279" s="11" t="n">
        <v>991.21</v>
      </c>
      <c r="J279" s="12" t="n">
        <v>0</v>
      </c>
      <c r="K279" s="11" t="n">
        <v>1982.42</v>
      </c>
      <c r="L279" s="11" t="n">
        <v>378.81</v>
      </c>
      <c r="M279" s="12" t="n">
        <v>0.1911</v>
      </c>
    </row>
    <row r="280">
      <c r="A280" t="inlineStr">
        <is>
          <t>ORD-10343</t>
        </is>
      </c>
      <c r="B280" s="10" t="inlineStr">
        <is>
          <t>2024-04-07</t>
        </is>
      </c>
      <c r="C280" t="inlineStr">
        <is>
          <t>Customer 178</t>
        </is>
      </c>
      <c r="D280" t="inlineStr">
        <is>
          <t>North</t>
        </is>
      </c>
      <c r="E280" t="inlineStr">
        <is>
          <t>Furniture</t>
        </is>
      </c>
      <c r="F280" t="inlineStr">
        <is>
          <t>Desk</t>
        </is>
      </c>
      <c r="G280" t="inlineStr">
        <is>
          <t>Second Class</t>
        </is>
      </c>
      <c r="H280" t="n">
        <v>3</v>
      </c>
      <c r="I280" s="11" t="n">
        <v>1183.31</v>
      </c>
      <c r="J280" s="12" t="n">
        <v>0</v>
      </c>
      <c r="K280" s="11" t="n">
        <v>3549.93</v>
      </c>
      <c r="L280" s="11" t="n">
        <v>1528.81</v>
      </c>
      <c r="M280" s="12" t="n">
        <v>0.4307</v>
      </c>
    </row>
    <row r="281">
      <c r="A281" t="inlineStr">
        <is>
          <t>ORD-11275</t>
        </is>
      </c>
      <c r="B281" s="10" t="inlineStr">
        <is>
          <t>2024-04-07</t>
        </is>
      </c>
      <c r="C281" t="inlineStr">
        <is>
          <t>Customer 166</t>
        </is>
      </c>
      <c r="D281" t="inlineStr">
        <is>
          <t>West</t>
        </is>
      </c>
      <c r="E281" t="inlineStr">
        <is>
          <t>Technology</t>
        </is>
      </c>
      <c r="F281" t="inlineStr">
        <is>
          <t>Monitor</t>
        </is>
      </c>
      <c r="G281" t="inlineStr">
        <is>
          <t>Second Class</t>
        </is>
      </c>
      <c r="H281" t="n">
        <v>2</v>
      </c>
      <c r="I281" s="11" t="n">
        <v>378.6</v>
      </c>
      <c r="J281" s="12" t="n">
        <v>0</v>
      </c>
      <c r="K281" s="11" t="n">
        <v>757.2</v>
      </c>
      <c r="L281" s="11" t="n">
        <v>276.34</v>
      </c>
      <c r="M281" s="12" t="n">
        <v>0.3649</v>
      </c>
    </row>
    <row r="282">
      <c r="A282" t="inlineStr">
        <is>
          <t>ORD-10905</t>
        </is>
      </c>
      <c r="B282" s="10" t="inlineStr">
        <is>
          <t>2024-04-08</t>
        </is>
      </c>
      <c r="C282" t="inlineStr">
        <is>
          <t>Customer 100</t>
        </is>
      </c>
      <c r="D282" t="inlineStr">
        <is>
          <t>North</t>
        </is>
      </c>
      <c r="E282" t="inlineStr">
        <is>
          <t>Office Supplies</t>
        </is>
      </c>
      <c r="F282" t="inlineStr">
        <is>
          <t>Binder</t>
        </is>
      </c>
      <c r="G282" t="inlineStr">
        <is>
          <t>Second Class</t>
        </is>
      </c>
      <c r="H282" t="n">
        <v>4</v>
      </c>
      <c r="I282" s="11" t="n">
        <v>196.53</v>
      </c>
      <c r="J282" s="12" t="n">
        <v>0.1</v>
      </c>
      <c r="K282" s="11" t="n">
        <v>707.51</v>
      </c>
      <c r="L282" s="11" t="n">
        <v>176.64</v>
      </c>
      <c r="M282" s="12" t="n">
        <v>0.2497</v>
      </c>
    </row>
    <row r="283">
      <c r="A283" t="inlineStr">
        <is>
          <t>ORD-10176</t>
        </is>
      </c>
      <c r="B283" s="10" t="inlineStr">
        <is>
          <t>2024-04-08</t>
        </is>
      </c>
      <c r="C283" t="inlineStr">
        <is>
          <t>Customer 150</t>
        </is>
      </c>
      <c r="D283" t="inlineStr">
        <is>
          <t>North</t>
        </is>
      </c>
      <c r="E283" t="inlineStr">
        <is>
          <t>Technology</t>
        </is>
      </c>
      <c r="F283" t="inlineStr">
        <is>
          <t>Laptop</t>
        </is>
      </c>
      <c r="G283" t="inlineStr">
        <is>
          <t>Standard Class</t>
        </is>
      </c>
      <c r="H283" t="n">
        <v>1</v>
      </c>
      <c r="I283" s="11" t="n">
        <v>1033.04</v>
      </c>
      <c r="J283" s="12" t="n">
        <v>0</v>
      </c>
      <c r="K283" s="11" t="n">
        <v>1033.04</v>
      </c>
      <c r="L283" s="11" t="n">
        <v>386.08</v>
      </c>
      <c r="M283" s="12" t="n">
        <v>0.3737</v>
      </c>
    </row>
    <row r="284">
      <c r="A284" t="inlineStr">
        <is>
          <t>ORD-10722</t>
        </is>
      </c>
      <c r="B284" s="10" t="inlineStr">
        <is>
          <t>2024-04-09</t>
        </is>
      </c>
      <c r="C284" t="inlineStr">
        <is>
          <t>Customer 11</t>
        </is>
      </c>
      <c r="D284" t="inlineStr">
        <is>
          <t>East</t>
        </is>
      </c>
      <c r="E284" t="inlineStr">
        <is>
          <t>Office Supplies</t>
        </is>
      </c>
      <c r="F284" t="inlineStr">
        <is>
          <t>Stapler</t>
        </is>
      </c>
      <c r="G284" t="inlineStr">
        <is>
          <t>Second Class</t>
        </is>
      </c>
      <c r="H284" t="n">
        <v>4</v>
      </c>
      <c r="I284" s="11" t="n">
        <v>823.04</v>
      </c>
      <c r="J284" s="12" t="n">
        <v>0</v>
      </c>
      <c r="K284" s="11" t="n">
        <v>3292.16</v>
      </c>
      <c r="L284" s="11" t="n">
        <v>1626.69</v>
      </c>
      <c r="M284" s="12" t="n">
        <v>0.4941</v>
      </c>
    </row>
    <row r="285">
      <c r="A285" t="inlineStr">
        <is>
          <t>ORD-11440</t>
        </is>
      </c>
      <c r="B285" s="10" t="inlineStr">
        <is>
          <t>2024-04-10</t>
        </is>
      </c>
      <c r="C285" t="inlineStr">
        <is>
          <t>Customer 35</t>
        </is>
      </c>
      <c r="D285" t="inlineStr">
        <is>
          <t>West</t>
        </is>
      </c>
      <c r="E285" t="inlineStr">
        <is>
          <t>Furniture</t>
        </is>
      </c>
      <c r="F285" t="inlineStr">
        <is>
          <t>Bookcase</t>
        </is>
      </c>
      <c r="G285" t="inlineStr">
        <is>
          <t>Same Day</t>
        </is>
      </c>
      <c r="H285" t="n">
        <v>1</v>
      </c>
      <c r="I285" s="11" t="n">
        <v>249.46</v>
      </c>
      <c r="J285" s="12" t="n">
        <v>0</v>
      </c>
      <c r="K285" s="11" t="n">
        <v>249.46</v>
      </c>
      <c r="L285" s="11" t="n">
        <v>73.5</v>
      </c>
      <c r="M285" s="12" t="n">
        <v>0.2946</v>
      </c>
    </row>
    <row r="286">
      <c r="A286" t="inlineStr">
        <is>
          <t>ORD-10505</t>
        </is>
      </c>
      <c r="B286" s="10" t="inlineStr">
        <is>
          <t>2024-04-11</t>
        </is>
      </c>
      <c r="C286" t="inlineStr">
        <is>
          <t>Customer 133</t>
        </is>
      </c>
      <c r="D286" t="inlineStr">
        <is>
          <t>North</t>
        </is>
      </c>
      <c r="E286" t="inlineStr">
        <is>
          <t>Furniture</t>
        </is>
      </c>
      <c r="F286" t="inlineStr">
        <is>
          <t>Bookcase</t>
        </is>
      </c>
      <c r="G286" t="inlineStr">
        <is>
          <t>Second Class</t>
        </is>
      </c>
      <c r="H286" t="n">
        <v>11</v>
      </c>
      <c r="I286" s="11" t="n">
        <v>548.64</v>
      </c>
      <c r="J286" s="12" t="n">
        <v>0.3</v>
      </c>
      <c r="K286" s="11" t="n">
        <v>4224.53</v>
      </c>
      <c r="L286" s="11" t="n">
        <v>601.33</v>
      </c>
      <c r="M286" s="12" t="n">
        <v>0.1423</v>
      </c>
    </row>
    <row r="287">
      <c r="A287" t="inlineStr">
        <is>
          <t>ORD-11959</t>
        </is>
      </c>
      <c r="B287" s="10" t="inlineStr">
        <is>
          <t>2024-04-12</t>
        </is>
      </c>
      <c r="C287" t="inlineStr">
        <is>
          <t>Customer 144</t>
        </is>
      </c>
      <c r="D287" t="inlineStr">
        <is>
          <t>South</t>
        </is>
      </c>
      <c r="E287" t="inlineStr">
        <is>
          <t>Furniture</t>
        </is>
      </c>
      <c r="F287" t="inlineStr">
        <is>
          <t>Desk</t>
        </is>
      </c>
      <c r="G287" t="inlineStr">
        <is>
          <t>Second Class</t>
        </is>
      </c>
      <c r="H287" t="n">
        <v>9</v>
      </c>
      <c r="I287" s="11" t="n">
        <v>165.98</v>
      </c>
      <c r="J287" s="12" t="n">
        <v>0</v>
      </c>
      <c r="K287" s="11" t="n">
        <v>1493.82</v>
      </c>
      <c r="L287" s="11" t="n">
        <v>477.37</v>
      </c>
      <c r="M287" s="12" t="n">
        <v>0.3196</v>
      </c>
    </row>
    <row r="288">
      <c r="A288" t="inlineStr">
        <is>
          <t>ORD-11703</t>
        </is>
      </c>
      <c r="B288" s="10" t="inlineStr">
        <is>
          <t>2024-04-12</t>
        </is>
      </c>
      <c r="C288" t="inlineStr">
        <is>
          <t>Customer 195</t>
        </is>
      </c>
      <c r="D288" t="inlineStr">
        <is>
          <t>West</t>
        </is>
      </c>
      <c r="E288" t="inlineStr">
        <is>
          <t>Office Supplies</t>
        </is>
      </c>
      <c r="F288" t="inlineStr">
        <is>
          <t>Stapler</t>
        </is>
      </c>
      <c r="G288" t="inlineStr">
        <is>
          <t>Second Class</t>
        </is>
      </c>
      <c r="H288" t="n">
        <v>10</v>
      </c>
      <c r="I288" s="11" t="n">
        <v>708.14</v>
      </c>
      <c r="J288" s="12" t="n">
        <v>0</v>
      </c>
      <c r="K288" s="11" t="n">
        <v>7081.4</v>
      </c>
      <c r="L288" s="11" t="n">
        <v>1350.53</v>
      </c>
      <c r="M288" s="12" t="n">
        <v>0.1907</v>
      </c>
    </row>
    <row r="289">
      <c r="A289" t="inlineStr">
        <is>
          <t>ORD-10535</t>
        </is>
      </c>
      <c r="B289" s="10" t="inlineStr">
        <is>
          <t>2024-04-12</t>
        </is>
      </c>
      <c r="C289" t="inlineStr">
        <is>
          <t>Customer 8</t>
        </is>
      </c>
      <c r="D289" t="inlineStr">
        <is>
          <t>East</t>
        </is>
      </c>
      <c r="E289" t="inlineStr">
        <is>
          <t>Furniture</t>
        </is>
      </c>
      <c r="F289" t="inlineStr">
        <is>
          <t>Chair</t>
        </is>
      </c>
      <c r="G289" t="inlineStr">
        <is>
          <t>Second Class</t>
        </is>
      </c>
      <c r="H289" t="n">
        <v>4</v>
      </c>
      <c r="I289" s="11" t="n">
        <v>537.65</v>
      </c>
      <c r="J289" s="12" t="n">
        <v>0</v>
      </c>
      <c r="K289" s="11" t="n">
        <v>2150.6</v>
      </c>
      <c r="L289" s="11" t="n">
        <v>783.99</v>
      </c>
      <c r="M289" s="12" t="n">
        <v>0.3645</v>
      </c>
    </row>
    <row r="290">
      <c r="A290" t="inlineStr">
        <is>
          <t>ORD-11151</t>
        </is>
      </c>
      <c r="B290" s="10" t="inlineStr">
        <is>
          <t>2024-04-13</t>
        </is>
      </c>
      <c r="C290" t="inlineStr">
        <is>
          <t>Customer 66</t>
        </is>
      </c>
      <c r="D290" t="inlineStr">
        <is>
          <t>South</t>
        </is>
      </c>
      <c r="E290" t="inlineStr">
        <is>
          <t>Office Supplies</t>
        </is>
      </c>
      <c r="F290" t="inlineStr">
        <is>
          <t>Stapler</t>
        </is>
      </c>
      <c r="G290" t="inlineStr">
        <is>
          <t>First Class</t>
        </is>
      </c>
      <c r="H290" t="n">
        <v>10</v>
      </c>
      <c r="I290" s="11" t="n">
        <v>38.52</v>
      </c>
      <c r="J290" s="12" t="n">
        <v>0</v>
      </c>
      <c r="K290" s="11" t="n">
        <v>385.2</v>
      </c>
      <c r="L290" s="11" t="n">
        <v>143.13</v>
      </c>
      <c r="M290" s="12" t="n">
        <v>0.3716</v>
      </c>
    </row>
    <row r="291">
      <c r="A291" t="inlineStr">
        <is>
          <t>ORD-11210</t>
        </is>
      </c>
      <c r="B291" s="10" t="inlineStr">
        <is>
          <t>2024-04-13</t>
        </is>
      </c>
      <c r="C291" t="inlineStr">
        <is>
          <t>Customer 107</t>
        </is>
      </c>
      <c r="D291" t="inlineStr">
        <is>
          <t>West</t>
        </is>
      </c>
      <c r="E291" t="inlineStr">
        <is>
          <t>Furniture</t>
        </is>
      </c>
      <c r="F291" t="inlineStr">
        <is>
          <t>Table Lamp</t>
        </is>
      </c>
      <c r="G291" t="inlineStr">
        <is>
          <t>Standard Class</t>
        </is>
      </c>
      <c r="H291" t="n">
        <v>8</v>
      </c>
      <c r="I291" s="11" t="n">
        <v>315.03</v>
      </c>
      <c r="J291" s="12" t="n">
        <v>0.1</v>
      </c>
      <c r="K291" s="11" t="n">
        <v>2268.22</v>
      </c>
      <c r="L291" s="11" t="n">
        <v>381.69</v>
      </c>
      <c r="M291" s="12" t="n">
        <v>0.1683</v>
      </c>
    </row>
    <row r="292">
      <c r="A292" t="inlineStr">
        <is>
          <t>ORD-11518</t>
        </is>
      </c>
      <c r="B292" s="10" t="inlineStr">
        <is>
          <t>2024-04-14</t>
        </is>
      </c>
      <c r="C292" t="inlineStr">
        <is>
          <t>Customer 1</t>
        </is>
      </c>
      <c r="D292" t="inlineStr">
        <is>
          <t>North</t>
        </is>
      </c>
      <c r="E292" t="inlineStr">
        <is>
          <t>Office Supplies</t>
        </is>
      </c>
      <c r="F292" t="inlineStr">
        <is>
          <t>Binder</t>
        </is>
      </c>
      <c r="G292" t="inlineStr">
        <is>
          <t>Second Class</t>
        </is>
      </c>
      <c r="H292" t="n">
        <v>7</v>
      </c>
      <c r="I292" s="11" t="n">
        <v>1171.9</v>
      </c>
      <c r="J292" s="12" t="n">
        <v>0</v>
      </c>
      <c r="K292" s="11" t="n">
        <v>8203.299999999999</v>
      </c>
      <c r="L292" s="11" t="n">
        <v>4072.73</v>
      </c>
      <c r="M292" s="12" t="n">
        <v>0.4965</v>
      </c>
    </row>
    <row r="293">
      <c r="A293" t="inlineStr">
        <is>
          <t>ORD-10596</t>
        </is>
      </c>
      <c r="B293" s="10" t="inlineStr">
        <is>
          <t>2024-04-14</t>
        </is>
      </c>
      <c r="C293" t="inlineStr">
        <is>
          <t>Customer 148</t>
        </is>
      </c>
      <c r="D293" t="inlineStr">
        <is>
          <t>North</t>
        </is>
      </c>
      <c r="E293" t="inlineStr">
        <is>
          <t>Furniture</t>
        </is>
      </c>
      <c r="F293" t="inlineStr">
        <is>
          <t>Desk</t>
        </is>
      </c>
      <c r="G293" t="inlineStr">
        <is>
          <t>Standard Class</t>
        </is>
      </c>
      <c r="H293" t="n">
        <v>1</v>
      </c>
      <c r="I293" s="11" t="n">
        <v>1144.85</v>
      </c>
      <c r="J293" s="12" t="n">
        <v>0</v>
      </c>
      <c r="K293" s="11" t="n">
        <v>1144.85</v>
      </c>
      <c r="L293" s="11" t="n">
        <v>363.31</v>
      </c>
      <c r="M293" s="12" t="n">
        <v>0.3173</v>
      </c>
    </row>
    <row r="294">
      <c r="A294" t="inlineStr">
        <is>
          <t>ORD-10430</t>
        </is>
      </c>
      <c r="B294" s="10" t="inlineStr">
        <is>
          <t>2024-04-16</t>
        </is>
      </c>
      <c r="C294" t="inlineStr">
        <is>
          <t>Customer 167</t>
        </is>
      </c>
      <c r="D294" t="inlineStr">
        <is>
          <t>South</t>
        </is>
      </c>
      <c r="E294" t="inlineStr">
        <is>
          <t>Office Supplies</t>
        </is>
      </c>
      <c r="F294" t="inlineStr">
        <is>
          <t>Paper</t>
        </is>
      </c>
      <c r="G294" t="inlineStr">
        <is>
          <t>Same Day</t>
        </is>
      </c>
      <c r="H294" t="n">
        <v>3</v>
      </c>
      <c r="I294" s="11" t="n">
        <v>1177.63</v>
      </c>
      <c r="J294" s="12" t="n">
        <v>0</v>
      </c>
      <c r="K294" s="11" t="n">
        <v>3532.89</v>
      </c>
      <c r="L294" s="11" t="n">
        <v>1011.81</v>
      </c>
      <c r="M294" s="12" t="n">
        <v>0.2864</v>
      </c>
    </row>
    <row r="295">
      <c r="A295" t="inlineStr">
        <is>
          <t>ORD-11400</t>
        </is>
      </c>
      <c r="B295" s="10" t="inlineStr">
        <is>
          <t>2024-04-16</t>
        </is>
      </c>
      <c r="C295" t="inlineStr">
        <is>
          <t>Customer 86</t>
        </is>
      </c>
      <c r="D295" t="inlineStr">
        <is>
          <t>East</t>
        </is>
      </c>
      <c r="E295" t="inlineStr">
        <is>
          <t>Office Supplies</t>
        </is>
      </c>
      <c r="F295" t="inlineStr">
        <is>
          <t>Binder</t>
        </is>
      </c>
      <c r="G295" t="inlineStr">
        <is>
          <t>Second Class</t>
        </is>
      </c>
      <c r="H295" t="n">
        <v>3</v>
      </c>
      <c r="I295" s="11" t="n">
        <v>680.65</v>
      </c>
      <c r="J295" s="12" t="n">
        <v>0</v>
      </c>
      <c r="K295" s="11" t="n">
        <v>2041.95</v>
      </c>
      <c r="L295" s="11" t="n">
        <v>811.14</v>
      </c>
      <c r="M295" s="12" t="n">
        <v>0.3972</v>
      </c>
    </row>
    <row r="296">
      <c r="A296" t="inlineStr">
        <is>
          <t>ORD-11120</t>
        </is>
      </c>
      <c r="B296" s="10" t="inlineStr">
        <is>
          <t>2024-04-16</t>
        </is>
      </c>
      <c r="C296" t="inlineStr">
        <is>
          <t>Customer 184</t>
        </is>
      </c>
      <c r="D296" t="inlineStr">
        <is>
          <t>East</t>
        </is>
      </c>
      <c r="E296" t="inlineStr">
        <is>
          <t>Furniture</t>
        </is>
      </c>
      <c r="F296" t="inlineStr">
        <is>
          <t>Bookcase</t>
        </is>
      </c>
      <c r="G296" t="inlineStr">
        <is>
          <t>Second Class</t>
        </is>
      </c>
      <c r="H296" t="n">
        <v>8</v>
      </c>
      <c r="I296" s="11" t="n">
        <v>99.67</v>
      </c>
      <c r="J296" s="12" t="n">
        <v>0.3</v>
      </c>
      <c r="K296" s="11" t="n">
        <v>558.15</v>
      </c>
      <c r="L296" s="11" t="n">
        <v>40.64</v>
      </c>
      <c r="M296" s="12" t="n">
        <v>0.0728</v>
      </c>
    </row>
    <row r="297">
      <c r="A297" t="inlineStr">
        <is>
          <t>ORD-11351</t>
        </is>
      </c>
      <c r="B297" s="10" t="inlineStr">
        <is>
          <t>2024-04-16</t>
        </is>
      </c>
      <c r="C297" t="inlineStr">
        <is>
          <t>Customer 71</t>
        </is>
      </c>
      <c r="D297" t="inlineStr">
        <is>
          <t>West</t>
        </is>
      </c>
      <c r="E297" t="inlineStr">
        <is>
          <t>Furniture</t>
        </is>
      </c>
      <c r="F297" t="inlineStr">
        <is>
          <t>Table Lamp</t>
        </is>
      </c>
      <c r="G297" t="inlineStr">
        <is>
          <t>Second Class</t>
        </is>
      </c>
      <c r="H297" t="n">
        <v>10</v>
      </c>
      <c r="I297" s="11" t="n">
        <v>830.04</v>
      </c>
      <c r="J297" s="12" t="n">
        <v>0</v>
      </c>
      <c r="K297" s="11" t="n">
        <v>8300.4</v>
      </c>
      <c r="L297" s="11" t="n">
        <v>2724.4</v>
      </c>
      <c r="M297" s="12" t="n">
        <v>0.3282</v>
      </c>
    </row>
    <row r="298">
      <c r="A298" t="inlineStr">
        <is>
          <t>ORD-11732</t>
        </is>
      </c>
      <c r="B298" s="10" t="inlineStr">
        <is>
          <t>2024-04-17</t>
        </is>
      </c>
      <c r="C298" t="inlineStr">
        <is>
          <t>Customer 75</t>
        </is>
      </c>
      <c r="D298" t="inlineStr">
        <is>
          <t>East</t>
        </is>
      </c>
      <c r="E298" t="inlineStr">
        <is>
          <t>Office Supplies</t>
        </is>
      </c>
      <c r="F298" t="inlineStr">
        <is>
          <t>Paper</t>
        </is>
      </c>
      <c r="G298" t="inlineStr">
        <is>
          <t>Same Day</t>
        </is>
      </c>
      <c r="H298" t="n">
        <v>5</v>
      </c>
      <c r="I298" s="11" t="n">
        <v>557.72</v>
      </c>
      <c r="J298" s="12" t="n">
        <v>0</v>
      </c>
      <c r="K298" s="11" t="n">
        <v>2788.6</v>
      </c>
      <c r="L298" s="11" t="n">
        <v>887.99</v>
      </c>
      <c r="M298" s="12" t="n">
        <v>0.3184</v>
      </c>
    </row>
    <row r="299">
      <c r="A299" t="inlineStr">
        <is>
          <t>ORD-11646</t>
        </is>
      </c>
      <c r="B299" s="10" t="inlineStr">
        <is>
          <t>2024-04-17</t>
        </is>
      </c>
      <c r="C299" t="inlineStr">
        <is>
          <t>Customer 163</t>
        </is>
      </c>
      <c r="D299" t="inlineStr">
        <is>
          <t>South</t>
        </is>
      </c>
      <c r="E299" t="inlineStr">
        <is>
          <t>Office Supplies</t>
        </is>
      </c>
      <c r="F299" t="inlineStr">
        <is>
          <t>Pens (Box)</t>
        </is>
      </c>
      <c r="G299" t="inlineStr">
        <is>
          <t>Same Day</t>
        </is>
      </c>
      <c r="H299" t="n">
        <v>2</v>
      </c>
      <c r="I299" s="11" t="n">
        <v>673.1799999999999</v>
      </c>
      <c r="J299" s="12" t="n">
        <v>0</v>
      </c>
      <c r="K299" s="11" t="n">
        <v>1346.36</v>
      </c>
      <c r="L299" s="11" t="n">
        <v>528.78</v>
      </c>
      <c r="M299" s="12" t="n">
        <v>0.3927</v>
      </c>
    </row>
    <row r="300">
      <c r="A300" t="inlineStr">
        <is>
          <t>ORD-10341</t>
        </is>
      </c>
      <c r="B300" s="10" t="inlineStr">
        <is>
          <t>2024-04-17</t>
        </is>
      </c>
      <c r="C300" t="inlineStr">
        <is>
          <t>Customer 65</t>
        </is>
      </c>
      <c r="D300" t="inlineStr">
        <is>
          <t>South</t>
        </is>
      </c>
      <c r="E300" t="inlineStr">
        <is>
          <t>Office Supplies</t>
        </is>
      </c>
      <c r="F300" t="inlineStr">
        <is>
          <t>Pens (Box)</t>
        </is>
      </c>
      <c r="G300" t="inlineStr">
        <is>
          <t>Second Class</t>
        </is>
      </c>
      <c r="H300" t="n">
        <v>1</v>
      </c>
      <c r="I300" s="11" t="n">
        <v>464.7</v>
      </c>
      <c r="J300" s="12" t="n">
        <v>0</v>
      </c>
      <c r="K300" s="11" t="n">
        <v>464.7</v>
      </c>
      <c r="L300" s="11" t="n">
        <v>175.08</v>
      </c>
      <c r="M300" s="12" t="n">
        <v>0.3768</v>
      </c>
    </row>
    <row r="301">
      <c r="A301" t="inlineStr">
        <is>
          <t>ORD-10207</t>
        </is>
      </c>
      <c r="B301" s="10" t="inlineStr">
        <is>
          <t>2024-04-18</t>
        </is>
      </c>
      <c r="C301" t="inlineStr">
        <is>
          <t>Customer 163</t>
        </is>
      </c>
      <c r="D301" t="inlineStr">
        <is>
          <t>South</t>
        </is>
      </c>
      <c r="E301" t="inlineStr">
        <is>
          <t>Office Supplies</t>
        </is>
      </c>
      <c r="F301" t="inlineStr">
        <is>
          <t>Paper</t>
        </is>
      </c>
      <c r="G301" t="inlineStr">
        <is>
          <t>Standard Class</t>
        </is>
      </c>
      <c r="H301" t="n">
        <v>3</v>
      </c>
      <c r="I301" s="11" t="n">
        <v>63.7</v>
      </c>
      <c r="J301" s="12" t="n">
        <v>0</v>
      </c>
      <c r="K301" s="11" t="n">
        <v>191.1</v>
      </c>
      <c r="L301" s="11" t="n">
        <v>91.31</v>
      </c>
      <c r="M301" s="12" t="n">
        <v>0.4778</v>
      </c>
    </row>
    <row r="302">
      <c r="A302" t="inlineStr">
        <is>
          <t>ORD-11217</t>
        </is>
      </c>
      <c r="B302" s="10" t="inlineStr">
        <is>
          <t>2024-04-18</t>
        </is>
      </c>
      <c r="C302" t="inlineStr">
        <is>
          <t>Customer 91</t>
        </is>
      </c>
      <c r="D302" t="inlineStr">
        <is>
          <t>South</t>
        </is>
      </c>
      <c r="E302" t="inlineStr">
        <is>
          <t>Office Supplies</t>
        </is>
      </c>
      <c r="F302" t="inlineStr">
        <is>
          <t>Paper</t>
        </is>
      </c>
      <c r="G302" t="inlineStr">
        <is>
          <t>Second Class</t>
        </is>
      </c>
      <c r="H302" t="n">
        <v>8</v>
      </c>
      <c r="I302" s="11" t="n">
        <v>656.86</v>
      </c>
      <c r="J302" s="12" t="n">
        <v>0.15</v>
      </c>
      <c r="K302" s="11" t="n">
        <v>4466.65</v>
      </c>
      <c r="L302" s="11" t="n">
        <v>294.12</v>
      </c>
      <c r="M302" s="12" t="n">
        <v>0.0658</v>
      </c>
    </row>
    <row r="303">
      <c r="A303" t="inlineStr">
        <is>
          <t>ORD-11538</t>
        </is>
      </c>
      <c r="B303" s="10" t="inlineStr">
        <is>
          <t>2024-04-19</t>
        </is>
      </c>
      <c r="C303" t="inlineStr">
        <is>
          <t>Customer 115</t>
        </is>
      </c>
      <c r="D303" t="inlineStr">
        <is>
          <t>East</t>
        </is>
      </c>
      <c r="E303" t="inlineStr">
        <is>
          <t>Office Supplies</t>
        </is>
      </c>
      <c r="F303" t="inlineStr">
        <is>
          <t>Paper</t>
        </is>
      </c>
      <c r="G303" t="inlineStr">
        <is>
          <t>Standard Class</t>
        </is>
      </c>
      <c r="H303" t="n">
        <v>2</v>
      </c>
      <c r="I303" s="11" t="n">
        <v>762.61</v>
      </c>
      <c r="J303" s="12" t="n">
        <v>0.15</v>
      </c>
      <c r="K303" s="11" t="n">
        <v>1296.44</v>
      </c>
      <c r="L303" s="11" t="n">
        <v>181.28</v>
      </c>
      <c r="M303" s="12" t="n">
        <v>0.1398</v>
      </c>
    </row>
    <row r="304">
      <c r="A304" t="inlineStr">
        <is>
          <t>ORD-11251</t>
        </is>
      </c>
      <c r="B304" s="10" t="inlineStr">
        <is>
          <t>2024-04-19</t>
        </is>
      </c>
      <c r="C304" t="inlineStr">
        <is>
          <t>Customer 76</t>
        </is>
      </c>
      <c r="D304" t="inlineStr">
        <is>
          <t>South</t>
        </is>
      </c>
      <c r="E304" t="inlineStr">
        <is>
          <t>Furniture</t>
        </is>
      </c>
      <c r="F304" t="inlineStr">
        <is>
          <t>Table Lamp</t>
        </is>
      </c>
      <c r="G304" t="inlineStr">
        <is>
          <t>First Class</t>
        </is>
      </c>
      <c r="H304" t="n">
        <v>8</v>
      </c>
      <c r="I304" s="11" t="n">
        <v>199.6</v>
      </c>
      <c r="J304" s="12" t="n">
        <v>0.2</v>
      </c>
      <c r="K304" s="11" t="n">
        <v>1277.44</v>
      </c>
      <c r="L304" s="11" t="n">
        <v>112.66</v>
      </c>
      <c r="M304" s="12" t="n">
        <v>0.0882</v>
      </c>
    </row>
    <row r="305">
      <c r="A305" t="inlineStr">
        <is>
          <t>ORD-11982</t>
        </is>
      </c>
      <c r="B305" s="10" t="inlineStr">
        <is>
          <t>2024-04-19</t>
        </is>
      </c>
      <c r="C305" t="inlineStr">
        <is>
          <t>Customer 175</t>
        </is>
      </c>
      <c r="D305" t="inlineStr">
        <is>
          <t>East</t>
        </is>
      </c>
      <c r="E305" t="inlineStr">
        <is>
          <t>Office Supplies</t>
        </is>
      </c>
      <c r="F305" t="inlineStr">
        <is>
          <t>Binder</t>
        </is>
      </c>
      <c r="G305" t="inlineStr">
        <is>
          <t>First Class</t>
        </is>
      </c>
      <c r="H305" t="n">
        <v>2</v>
      </c>
      <c r="I305" s="11" t="n">
        <v>967.61</v>
      </c>
      <c r="J305" s="12" t="n">
        <v>0</v>
      </c>
      <c r="K305" s="11" t="n">
        <v>1935.22</v>
      </c>
      <c r="L305" s="11" t="n">
        <v>914.6799999999999</v>
      </c>
      <c r="M305" s="12" t="n">
        <v>0.4726</v>
      </c>
    </row>
    <row r="306">
      <c r="A306" t="inlineStr">
        <is>
          <t>ORD-11719</t>
        </is>
      </c>
      <c r="B306" s="10" t="inlineStr">
        <is>
          <t>2024-04-20</t>
        </is>
      </c>
      <c r="C306" t="inlineStr">
        <is>
          <t>Customer 91</t>
        </is>
      </c>
      <c r="D306" t="inlineStr">
        <is>
          <t>South</t>
        </is>
      </c>
      <c r="E306" t="inlineStr">
        <is>
          <t>Office Supplies</t>
        </is>
      </c>
      <c r="F306" t="inlineStr">
        <is>
          <t>Paper</t>
        </is>
      </c>
      <c r="G306" t="inlineStr">
        <is>
          <t>Standard Class</t>
        </is>
      </c>
      <c r="H306" t="n">
        <v>1</v>
      </c>
      <c r="I306" s="11" t="n">
        <v>226.73</v>
      </c>
      <c r="J306" s="12" t="n">
        <v>0</v>
      </c>
      <c r="K306" s="11" t="n">
        <v>226.73</v>
      </c>
      <c r="L306" s="11" t="n">
        <v>87.98999999999999</v>
      </c>
      <c r="M306" s="12" t="n">
        <v>0.3881</v>
      </c>
    </row>
    <row r="307">
      <c r="A307" t="inlineStr">
        <is>
          <t>ORD-10761</t>
        </is>
      </c>
      <c r="B307" s="10" t="inlineStr">
        <is>
          <t>2024-04-20</t>
        </is>
      </c>
      <c r="C307" t="inlineStr">
        <is>
          <t>Customer 195</t>
        </is>
      </c>
      <c r="D307" t="inlineStr">
        <is>
          <t>West</t>
        </is>
      </c>
      <c r="E307" t="inlineStr">
        <is>
          <t>Furniture</t>
        </is>
      </c>
      <c r="F307" t="inlineStr">
        <is>
          <t>Chair</t>
        </is>
      </c>
      <c r="G307" t="inlineStr">
        <is>
          <t>First Class</t>
        </is>
      </c>
      <c r="H307" t="n">
        <v>2</v>
      </c>
      <c r="I307" s="11" t="n">
        <v>382.9</v>
      </c>
      <c r="J307" s="12" t="n">
        <v>0</v>
      </c>
      <c r="K307" s="11" t="n">
        <v>765.8</v>
      </c>
      <c r="L307" s="11" t="n">
        <v>317.02</v>
      </c>
      <c r="M307" s="12" t="n">
        <v>0.414</v>
      </c>
    </row>
    <row r="308">
      <c r="A308" t="inlineStr">
        <is>
          <t>ORD-11333</t>
        </is>
      </c>
      <c r="B308" s="10" t="inlineStr">
        <is>
          <t>2024-04-21</t>
        </is>
      </c>
      <c r="C308" t="inlineStr">
        <is>
          <t>Customer 137</t>
        </is>
      </c>
      <c r="D308" t="inlineStr">
        <is>
          <t>East</t>
        </is>
      </c>
      <c r="E308" t="inlineStr">
        <is>
          <t>Technology</t>
        </is>
      </c>
      <c r="F308" t="inlineStr">
        <is>
          <t>Laptop</t>
        </is>
      </c>
      <c r="G308" t="inlineStr">
        <is>
          <t>Same Day</t>
        </is>
      </c>
      <c r="H308" t="n">
        <v>3</v>
      </c>
      <c r="I308" s="11" t="n">
        <v>716.67</v>
      </c>
      <c r="J308" s="12" t="n">
        <v>0</v>
      </c>
      <c r="K308" s="11" t="n">
        <v>2150.01</v>
      </c>
      <c r="L308" s="11" t="n">
        <v>871.89</v>
      </c>
      <c r="M308" s="12" t="n">
        <v>0.4055</v>
      </c>
    </row>
    <row r="309">
      <c r="A309" t="inlineStr">
        <is>
          <t>ORD-10620</t>
        </is>
      </c>
      <c r="B309" s="10" t="inlineStr">
        <is>
          <t>2024-04-21</t>
        </is>
      </c>
      <c r="C309" t="inlineStr">
        <is>
          <t>Customer 30</t>
        </is>
      </c>
      <c r="D309" t="inlineStr">
        <is>
          <t>South</t>
        </is>
      </c>
      <c r="E309" t="inlineStr">
        <is>
          <t>Technology</t>
        </is>
      </c>
      <c r="F309" t="inlineStr">
        <is>
          <t>Wireless Mouse</t>
        </is>
      </c>
      <c r="G309" t="inlineStr">
        <is>
          <t>Same Day</t>
        </is>
      </c>
      <c r="H309" t="n">
        <v>7</v>
      </c>
      <c r="I309" s="11" t="n">
        <v>624.9299999999999</v>
      </c>
      <c r="J309" s="12" t="n">
        <v>0</v>
      </c>
      <c r="K309" s="11" t="n">
        <v>4374.51</v>
      </c>
      <c r="L309" s="11" t="n">
        <v>964.79</v>
      </c>
      <c r="M309" s="12" t="n">
        <v>0.2205</v>
      </c>
    </row>
    <row r="310">
      <c r="A310" t="inlineStr">
        <is>
          <t>ORD-10433</t>
        </is>
      </c>
      <c r="B310" s="10" t="inlineStr">
        <is>
          <t>2024-04-21</t>
        </is>
      </c>
      <c r="C310" t="inlineStr">
        <is>
          <t>Customer 73</t>
        </is>
      </c>
      <c r="D310" t="inlineStr">
        <is>
          <t>South</t>
        </is>
      </c>
      <c r="E310" t="inlineStr">
        <is>
          <t>Office Supplies</t>
        </is>
      </c>
      <c r="F310" t="inlineStr">
        <is>
          <t>Binder</t>
        </is>
      </c>
      <c r="G310" t="inlineStr">
        <is>
          <t>Standard Class</t>
        </is>
      </c>
      <c r="H310" t="n">
        <v>7</v>
      </c>
      <c r="I310" s="11" t="n">
        <v>846.75</v>
      </c>
      <c r="J310" s="12" t="n">
        <v>0</v>
      </c>
      <c r="K310" s="11" t="n">
        <v>5927.25</v>
      </c>
      <c r="L310" s="11" t="n">
        <v>1857.09</v>
      </c>
      <c r="M310" s="12" t="n">
        <v>0.3133</v>
      </c>
    </row>
    <row r="311">
      <c r="A311" t="inlineStr">
        <is>
          <t>ORD-10639</t>
        </is>
      </c>
      <c r="B311" s="10" t="inlineStr">
        <is>
          <t>2024-04-21</t>
        </is>
      </c>
      <c r="C311" t="inlineStr">
        <is>
          <t>Customer 142</t>
        </is>
      </c>
      <c r="D311" t="inlineStr">
        <is>
          <t>North</t>
        </is>
      </c>
      <c r="E311" t="inlineStr">
        <is>
          <t>Furniture</t>
        </is>
      </c>
      <c r="F311" t="inlineStr">
        <is>
          <t>Table Lamp</t>
        </is>
      </c>
      <c r="G311" t="inlineStr">
        <is>
          <t>Second Class</t>
        </is>
      </c>
      <c r="H311" t="n">
        <v>3</v>
      </c>
      <c r="I311" s="11" t="n">
        <v>961.24</v>
      </c>
      <c r="J311" s="12" t="n">
        <v>0</v>
      </c>
      <c r="K311" s="11" t="n">
        <v>2883.72</v>
      </c>
      <c r="L311" s="11" t="n">
        <v>1290.63</v>
      </c>
      <c r="M311" s="12" t="n">
        <v>0.4476</v>
      </c>
    </row>
    <row r="312">
      <c r="A312" t="inlineStr">
        <is>
          <t>ORD-11061</t>
        </is>
      </c>
      <c r="B312" s="10" t="inlineStr">
        <is>
          <t>2024-04-21</t>
        </is>
      </c>
      <c r="C312" t="inlineStr">
        <is>
          <t>Customer 46</t>
        </is>
      </c>
      <c r="D312" t="inlineStr">
        <is>
          <t>West</t>
        </is>
      </c>
      <c r="E312" t="inlineStr">
        <is>
          <t>Furniture</t>
        </is>
      </c>
      <c r="F312" t="inlineStr">
        <is>
          <t>Chair</t>
        </is>
      </c>
      <c r="G312" t="inlineStr">
        <is>
          <t>Same Day</t>
        </is>
      </c>
      <c r="H312" t="n">
        <v>3</v>
      </c>
      <c r="I312" s="11" t="n">
        <v>1088.81</v>
      </c>
      <c r="J312" s="12" t="n">
        <v>0</v>
      </c>
      <c r="K312" s="11" t="n">
        <v>3266.43</v>
      </c>
      <c r="L312" s="11" t="n">
        <v>722.17</v>
      </c>
      <c r="M312" s="12" t="n">
        <v>0.2211</v>
      </c>
    </row>
    <row r="313">
      <c r="A313" t="inlineStr">
        <is>
          <t>ORD-11476</t>
        </is>
      </c>
      <c r="B313" s="10" t="inlineStr">
        <is>
          <t>2024-04-21</t>
        </is>
      </c>
      <c r="C313" t="inlineStr">
        <is>
          <t>Customer 15</t>
        </is>
      </c>
      <c r="D313" t="inlineStr">
        <is>
          <t>East</t>
        </is>
      </c>
      <c r="E313" t="inlineStr">
        <is>
          <t>Technology</t>
        </is>
      </c>
      <c r="F313" t="inlineStr">
        <is>
          <t>Laptop</t>
        </is>
      </c>
      <c r="G313" t="inlineStr">
        <is>
          <t>Standard Class</t>
        </is>
      </c>
      <c r="H313" t="n">
        <v>1</v>
      </c>
      <c r="I313" s="11" t="n">
        <v>540.24</v>
      </c>
      <c r="J313" s="12" t="n">
        <v>0</v>
      </c>
      <c r="K313" s="11" t="n">
        <v>540.24</v>
      </c>
      <c r="L313" s="11" t="n">
        <v>130.99</v>
      </c>
      <c r="M313" s="12" t="n">
        <v>0.2425</v>
      </c>
    </row>
    <row r="314">
      <c r="A314" t="inlineStr">
        <is>
          <t>ORD-10528</t>
        </is>
      </c>
      <c r="B314" s="10" t="inlineStr">
        <is>
          <t>2024-04-22</t>
        </is>
      </c>
      <c r="C314" t="inlineStr">
        <is>
          <t>Customer 115</t>
        </is>
      </c>
      <c r="D314" t="inlineStr">
        <is>
          <t>East</t>
        </is>
      </c>
      <c r="E314" t="inlineStr">
        <is>
          <t>Office Supplies</t>
        </is>
      </c>
      <c r="F314" t="inlineStr">
        <is>
          <t>Paper</t>
        </is>
      </c>
      <c r="G314" t="inlineStr">
        <is>
          <t>Standard Class</t>
        </is>
      </c>
      <c r="H314" t="n">
        <v>11</v>
      </c>
      <c r="I314" s="11" t="n">
        <v>1005.95</v>
      </c>
      <c r="J314" s="12" t="n">
        <v>0</v>
      </c>
      <c r="K314" s="11" t="n">
        <v>11065.45</v>
      </c>
      <c r="L314" s="11" t="n">
        <v>5344.03</v>
      </c>
      <c r="M314" s="12" t="n">
        <v>0.4829</v>
      </c>
    </row>
    <row r="315">
      <c r="A315" t="inlineStr">
        <is>
          <t>ORD-11310</t>
        </is>
      </c>
      <c r="B315" s="10" t="inlineStr">
        <is>
          <t>2024-04-22</t>
        </is>
      </c>
      <c r="C315" t="inlineStr">
        <is>
          <t>Customer 93</t>
        </is>
      </c>
      <c r="D315" t="inlineStr">
        <is>
          <t>West</t>
        </is>
      </c>
      <c r="E315" t="inlineStr">
        <is>
          <t>Office Supplies</t>
        </is>
      </c>
      <c r="F315" t="inlineStr">
        <is>
          <t>Paper</t>
        </is>
      </c>
      <c r="G315" t="inlineStr">
        <is>
          <t>Standard Class</t>
        </is>
      </c>
      <c r="H315" t="n">
        <v>3</v>
      </c>
      <c r="I315" s="11" t="n">
        <v>876.47</v>
      </c>
      <c r="J315" s="12" t="n">
        <v>0</v>
      </c>
      <c r="K315" s="11" t="n">
        <v>2629.41</v>
      </c>
      <c r="L315" s="11" t="n">
        <v>1250.46</v>
      </c>
      <c r="M315" s="12" t="n">
        <v>0.4756</v>
      </c>
    </row>
    <row r="316">
      <c r="A316" t="inlineStr">
        <is>
          <t>ORD-11254</t>
        </is>
      </c>
      <c r="B316" s="10" t="inlineStr">
        <is>
          <t>2024-04-22</t>
        </is>
      </c>
      <c r="C316" t="inlineStr">
        <is>
          <t>Customer 167</t>
        </is>
      </c>
      <c r="D316" t="inlineStr">
        <is>
          <t>South</t>
        </is>
      </c>
      <c r="E316" t="inlineStr">
        <is>
          <t>Technology</t>
        </is>
      </c>
      <c r="F316" t="inlineStr">
        <is>
          <t>Laptop</t>
        </is>
      </c>
      <c r="G316" t="inlineStr">
        <is>
          <t>Second Class</t>
        </is>
      </c>
      <c r="H316" t="n">
        <v>6</v>
      </c>
      <c r="I316" s="11" t="n">
        <v>92.37</v>
      </c>
      <c r="J316" s="12" t="n">
        <v>0</v>
      </c>
      <c r="K316" s="11" t="n">
        <v>554.22</v>
      </c>
      <c r="L316" s="11" t="n">
        <v>266.96</v>
      </c>
      <c r="M316" s="12" t="n">
        <v>0.4817</v>
      </c>
    </row>
    <row r="317">
      <c r="A317" t="inlineStr">
        <is>
          <t>ORD-11425</t>
        </is>
      </c>
      <c r="B317" s="10" t="inlineStr">
        <is>
          <t>2024-04-22</t>
        </is>
      </c>
      <c r="C317" t="inlineStr">
        <is>
          <t>Customer 62</t>
        </is>
      </c>
      <c r="D317" t="inlineStr">
        <is>
          <t>East</t>
        </is>
      </c>
      <c r="E317" t="inlineStr">
        <is>
          <t>Office Supplies</t>
        </is>
      </c>
      <c r="F317" t="inlineStr">
        <is>
          <t>Paper</t>
        </is>
      </c>
      <c r="G317" t="inlineStr">
        <is>
          <t>Standard Class</t>
        </is>
      </c>
      <c r="H317" t="n">
        <v>8</v>
      </c>
      <c r="I317" s="11" t="n">
        <v>728.91</v>
      </c>
      <c r="J317" s="12" t="n">
        <v>0</v>
      </c>
      <c r="K317" s="11" t="n">
        <v>5831.28</v>
      </c>
      <c r="L317" s="11" t="n">
        <v>2345.56</v>
      </c>
      <c r="M317" s="12" t="n">
        <v>0.4022</v>
      </c>
    </row>
    <row r="318">
      <c r="A318" t="inlineStr">
        <is>
          <t>ORD-11127</t>
        </is>
      </c>
      <c r="B318" s="10" t="inlineStr">
        <is>
          <t>2024-04-22</t>
        </is>
      </c>
      <c r="C318" t="inlineStr">
        <is>
          <t>Customer 123</t>
        </is>
      </c>
      <c r="D318" t="inlineStr">
        <is>
          <t>East</t>
        </is>
      </c>
      <c r="E318" t="inlineStr">
        <is>
          <t>Furniture</t>
        </is>
      </c>
      <c r="F318" t="inlineStr">
        <is>
          <t>Chair</t>
        </is>
      </c>
      <c r="G318" t="inlineStr">
        <is>
          <t>Second Class</t>
        </is>
      </c>
      <c r="H318" t="n">
        <v>2</v>
      </c>
      <c r="I318" s="11" t="n">
        <v>241.38</v>
      </c>
      <c r="J318" s="12" t="n">
        <v>0</v>
      </c>
      <c r="K318" s="11" t="n">
        <v>482.76</v>
      </c>
      <c r="L318" s="11" t="n">
        <v>157.5</v>
      </c>
      <c r="M318" s="12" t="n">
        <v>0.3262</v>
      </c>
    </row>
    <row r="319">
      <c r="A319" t="inlineStr">
        <is>
          <t>ORD-10103</t>
        </is>
      </c>
      <c r="B319" s="10" t="inlineStr">
        <is>
          <t>2024-04-22</t>
        </is>
      </c>
      <c r="C319" t="inlineStr">
        <is>
          <t>Customer 192</t>
        </is>
      </c>
      <c r="D319" t="inlineStr">
        <is>
          <t>East</t>
        </is>
      </c>
      <c r="E319" t="inlineStr">
        <is>
          <t>Furniture</t>
        </is>
      </c>
      <c r="F319" t="inlineStr">
        <is>
          <t>Chair</t>
        </is>
      </c>
      <c r="G319" t="inlineStr">
        <is>
          <t>First Class</t>
        </is>
      </c>
      <c r="H319" t="n">
        <v>11</v>
      </c>
      <c r="I319" s="11" t="n">
        <v>16.07</v>
      </c>
      <c r="J319" s="12" t="n">
        <v>0</v>
      </c>
      <c r="K319" s="11" t="n">
        <v>176.77</v>
      </c>
      <c r="L319" s="11" t="n">
        <v>86.45</v>
      </c>
      <c r="M319" s="12" t="n">
        <v>0.4891</v>
      </c>
    </row>
    <row r="320">
      <c r="A320" t="inlineStr">
        <is>
          <t>ORD-10918</t>
        </is>
      </c>
      <c r="B320" s="10" t="inlineStr">
        <is>
          <t>2024-04-22</t>
        </is>
      </c>
      <c r="C320" t="inlineStr">
        <is>
          <t>Customer 18</t>
        </is>
      </c>
      <c r="D320" t="inlineStr">
        <is>
          <t>North</t>
        </is>
      </c>
      <c r="E320" t="inlineStr">
        <is>
          <t>Office Supplies</t>
        </is>
      </c>
      <c r="F320" t="inlineStr">
        <is>
          <t>Binder</t>
        </is>
      </c>
      <c r="G320" t="inlineStr">
        <is>
          <t>Second Class</t>
        </is>
      </c>
      <c r="H320" t="n">
        <v>4</v>
      </c>
      <c r="I320" s="11" t="n">
        <v>484.69</v>
      </c>
      <c r="J320" s="12" t="n">
        <v>0</v>
      </c>
      <c r="K320" s="11" t="n">
        <v>1938.76</v>
      </c>
      <c r="L320" s="11" t="n">
        <v>379.01</v>
      </c>
      <c r="M320" s="12" t="n">
        <v>0.1955</v>
      </c>
    </row>
    <row r="321">
      <c r="A321" t="inlineStr">
        <is>
          <t>ORD-11046</t>
        </is>
      </c>
      <c r="B321" s="10" t="inlineStr">
        <is>
          <t>2024-04-22</t>
        </is>
      </c>
      <c r="C321" t="inlineStr">
        <is>
          <t>Customer 16</t>
        </is>
      </c>
      <c r="D321" t="inlineStr">
        <is>
          <t>West</t>
        </is>
      </c>
      <c r="E321" t="inlineStr">
        <is>
          <t>Office Supplies</t>
        </is>
      </c>
      <c r="F321" t="inlineStr">
        <is>
          <t>Paper</t>
        </is>
      </c>
      <c r="G321" t="inlineStr">
        <is>
          <t>First Class</t>
        </is>
      </c>
      <c r="H321" t="n">
        <v>3</v>
      </c>
      <c r="I321" s="11" t="n">
        <v>153.06</v>
      </c>
      <c r="J321" s="12" t="n">
        <v>0.2</v>
      </c>
      <c r="K321" s="11" t="n">
        <v>367.34</v>
      </c>
      <c r="L321" s="11" t="n">
        <v>135.52</v>
      </c>
      <c r="M321" s="12" t="n">
        <v>0.3689</v>
      </c>
    </row>
    <row r="322">
      <c r="A322" t="inlineStr">
        <is>
          <t>ORD-10398</t>
        </is>
      </c>
      <c r="B322" s="10" t="inlineStr">
        <is>
          <t>2024-04-22</t>
        </is>
      </c>
      <c r="C322" t="inlineStr">
        <is>
          <t>Customer 90</t>
        </is>
      </c>
      <c r="D322" t="inlineStr">
        <is>
          <t>West</t>
        </is>
      </c>
      <c r="E322" t="inlineStr">
        <is>
          <t>Technology</t>
        </is>
      </c>
      <c r="F322" t="inlineStr">
        <is>
          <t>Wireless Mouse</t>
        </is>
      </c>
      <c r="G322" t="inlineStr">
        <is>
          <t>Standard Class</t>
        </is>
      </c>
      <c r="H322" t="n">
        <v>4</v>
      </c>
      <c r="I322" s="11" t="n">
        <v>701.3099999999999</v>
      </c>
      <c r="J322" s="12" t="n">
        <v>0</v>
      </c>
      <c r="K322" s="11" t="n">
        <v>2805.24</v>
      </c>
      <c r="L322" s="11" t="n">
        <v>676.88</v>
      </c>
      <c r="M322" s="12" t="n">
        <v>0.2413</v>
      </c>
    </row>
    <row r="323">
      <c r="A323" t="inlineStr">
        <is>
          <t>ORD-11873</t>
        </is>
      </c>
      <c r="B323" s="10" t="inlineStr">
        <is>
          <t>2024-04-22</t>
        </is>
      </c>
      <c r="C323" t="inlineStr">
        <is>
          <t>Customer 35</t>
        </is>
      </c>
      <c r="D323" t="inlineStr">
        <is>
          <t>West</t>
        </is>
      </c>
      <c r="E323" t="inlineStr">
        <is>
          <t>Furniture</t>
        </is>
      </c>
      <c r="F323" t="inlineStr">
        <is>
          <t>Chair</t>
        </is>
      </c>
      <c r="G323" t="inlineStr">
        <is>
          <t>Second Class</t>
        </is>
      </c>
      <c r="H323" t="n">
        <v>2</v>
      </c>
      <c r="I323" s="11" t="n">
        <v>1043.86</v>
      </c>
      <c r="J323" s="12" t="n">
        <v>0</v>
      </c>
      <c r="K323" s="11" t="n">
        <v>2087.72</v>
      </c>
      <c r="L323" s="11" t="n">
        <v>840.46</v>
      </c>
      <c r="M323" s="12" t="n">
        <v>0.4026</v>
      </c>
    </row>
    <row r="324">
      <c r="A324" t="inlineStr">
        <is>
          <t>ORD-10200</t>
        </is>
      </c>
      <c r="B324" s="10" t="inlineStr">
        <is>
          <t>2024-04-23</t>
        </is>
      </c>
      <c r="C324" t="inlineStr">
        <is>
          <t>Customer 149</t>
        </is>
      </c>
      <c r="D324" t="inlineStr">
        <is>
          <t>West</t>
        </is>
      </c>
      <c r="E324" t="inlineStr">
        <is>
          <t>Furniture</t>
        </is>
      </c>
      <c r="F324" t="inlineStr">
        <is>
          <t>Table Lamp</t>
        </is>
      </c>
      <c r="G324" t="inlineStr">
        <is>
          <t>Second Class</t>
        </is>
      </c>
      <c r="H324" t="n">
        <v>11</v>
      </c>
      <c r="I324" s="11" t="n">
        <v>644.2</v>
      </c>
      <c r="J324" s="12" t="n">
        <v>0.2</v>
      </c>
      <c r="K324" s="11" t="n">
        <v>5668.96</v>
      </c>
      <c r="L324" s="11" t="n">
        <v>718.49</v>
      </c>
      <c r="M324" s="12" t="n">
        <v>0.1267</v>
      </c>
    </row>
    <row r="325">
      <c r="A325" t="inlineStr">
        <is>
          <t>ORD-10949</t>
        </is>
      </c>
      <c r="B325" s="10" t="inlineStr">
        <is>
          <t>2024-04-24</t>
        </is>
      </c>
      <c r="C325" t="inlineStr">
        <is>
          <t>Customer 106</t>
        </is>
      </c>
      <c r="D325" t="inlineStr">
        <is>
          <t>West</t>
        </is>
      </c>
      <c r="E325" t="inlineStr">
        <is>
          <t>Furniture</t>
        </is>
      </c>
      <c r="F325" t="inlineStr">
        <is>
          <t>Desk</t>
        </is>
      </c>
      <c r="G325" t="inlineStr">
        <is>
          <t>Second Class</t>
        </is>
      </c>
      <c r="H325" t="n">
        <v>8</v>
      </c>
      <c r="I325" s="11" t="n">
        <v>546.6799999999999</v>
      </c>
      <c r="J325" s="12" t="n">
        <v>0.15</v>
      </c>
      <c r="K325" s="11" t="n">
        <v>3717.42</v>
      </c>
      <c r="L325" s="11" t="n">
        <v>1416.46</v>
      </c>
      <c r="M325" s="12" t="n">
        <v>0.381</v>
      </c>
    </row>
    <row r="326">
      <c r="A326" t="inlineStr">
        <is>
          <t>ORD-10235</t>
        </is>
      </c>
      <c r="B326" s="10" t="inlineStr">
        <is>
          <t>2024-04-24</t>
        </is>
      </c>
      <c r="C326" t="inlineStr">
        <is>
          <t>Customer 192</t>
        </is>
      </c>
      <c r="D326" t="inlineStr">
        <is>
          <t>East</t>
        </is>
      </c>
      <c r="E326" t="inlineStr">
        <is>
          <t>Technology</t>
        </is>
      </c>
      <c r="F326" t="inlineStr">
        <is>
          <t>Printer</t>
        </is>
      </c>
      <c r="G326" t="inlineStr">
        <is>
          <t>Standard Class</t>
        </is>
      </c>
      <c r="H326" t="n">
        <v>9</v>
      </c>
      <c r="I326" s="11" t="n">
        <v>111.41</v>
      </c>
      <c r="J326" s="12" t="n">
        <v>0</v>
      </c>
      <c r="K326" s="11" t="n">
        <v>1002.69</v>
      </c>
      <c r="L326" s="11" t="n">
        <v>239.17</v>
      </c>
      <c r="M326" s="12" t="n">
        <v>0.2385</v>
      </c>
    </row>
    <row r="327">
      <c r="A327" t="inlineStr">
        <is>
          <t>ORD-11606</t>
        </is>
      </c>
      <c r="B327" s="10" t="inlineStr">
        <is>
          <t>2024-04-24</t>
        </is>
      </c>
      <c r="C327" t="inlineStr">
        <is>
          <t>Customer 172</t>
        </is>
      </c>
      <c r="D327" t="inlineStr">
        <is>
          <t>North</t>
        </is>
      </c>
      <c r="E327" t="inlineStr">
        <is>
          <t>Technology</t>
        </is>
      </c>
      <c r="F327" t="inlineStr">
        <is>
          <t>Printer</t>
        </is>
      </c>
      <c r="G327" t="inlineStr">
        <is>
          <t>First Class</t>
        </is>
      </c>
      <c r="H327" t="n">
        <v>3</v>
      </c>
      <c r="I327" s="11" t="n">
        <v>421.27</v>
      </c>
      <c r="J327" s="12" t="n">
        <v>0.1</v>
      </c>
      <c r="K327" s="11" t="n">
        <v>1137.43</v>
      </c>
      <c r="L327" s="11" t="n">
        <v>162.48</v>
      </c>
      <c r="M327" s="12" t="n">
        <v>0.1428</v>
      </c>
    </row>
    <row r="328">
      <c r="A328" t="inlineStr">
        <is>
          <t>ORD-11225</t>
        </is>
      </c>
      <c r="B328" s="10" t="inlineStr">
        <is>
          <t>2024-04-24</t>
        </is>
      </c>
      <c r="C328" t="inlineStr">
        <is>
          <t>Customer 77</t>
        </is>
      </c>
      <c r="D328" t="inlineStr">
        <is>
          <t>South</t>
        </is>
      </c>
      <c r="E328" t="inlineStr">
        <is>
          <t>Technology</t>
        </is>
      </c>
      <c r="F328" t="inlineStr">
        <is>
          <t>Monitor</t>
        </is>
      </c>
      <c r="G328" t="inlineStr">
        <is>
          <t>Standard Class</t>
        </is>
      </c>
      <c r="H328" t="n">
        <v>4</v>
      </c>
      <c r="I328" s="11" t="n">
        <v>853</v>
      </c>
      <c r="J328" s="12" t="n">
        <v>0.15</v>
      </c>
      <c r="K328" s="11" t="n">
        <v>2900.2</v>
      </c>
      <c r="L328" s="11" t="n">
        <v>422.37</v>
      </c>
      <c r="M328" s="12" t="n">
        <v>0.1456</v>
      </c>
    </row>
    <row r="329">
      <c r="A329" t="inlineStr">
        <is>
          <t>ORD-10662</t>
        </is>
      </c>
      <c r="B329" s="10" t="inlineStr">
        <is>
          <t>2024-04-24</t>
        </is>
      </c>
      <c r="C329" t="inlineStr">
        <is>
          <t>Customer 32</t>
        </is>
      </c>
      <c r="D329" t="inlineStr">
        <is>
          <t>North</t>
        </is>
      </c>
      <c r="E329" t="inlineStr">
        <is>
          <t>Technology</t>
        </is>
      </c>
      <c r="F329" t="inlineStr">
        <is>
          <t>Wireless Mouse</t>
        </is>
      </c>
      <c r="G329" t="inlineStr">
        <is>
          <t>Standard Class</t>
        </is>
      </c>
      <c r="H329" t="n">
        <v>4</v>
      </c>
      <c r="I329" s="11" t="n">
        <v>935.0700000000001</v>
      </c>
      <c r="J329" s="12" t="n">
        <v>0.1</v>
      </c>
      <c r="K329" s="11" t="n">
        <v>3366.25</v>
      </c>
      <c r="L329" s="11" t="n">
        <v>518.74</v>
      </c>
      <c r="M329" s="12" t="n">
        <v>0.1541</v>
      </c>
    </row>
    <row r="330">
      <c r="A330" t="inlineStr">
        <is>
          <t>ORD-10381</t>
        </is>
      </c>
      <c r="B330" s="10" t="inlineStr">
        <is>
          <t>2024-04-25</t>
        </is>
      </c>
      <c r="C330" t="inlineStr">
        <is>
          <t>Customer 73</t>
        </is>
      </c>
      <c r="D330" t="inlineStr">
        <is>
          <t>South</t>
        </is>
      </c>
      <c r="E330" t="inlineStr">
        <is>
          <t>Furniture</t>
        </is>
      </c>
      <c r="F330" t="inlineStr">
        <is>
          <t>Bookcase</t>
        </is>
      </c>
      <c r="G330" t="inlineStr">
        <is>
          <t>Second Class</t>
        </is>
      </c>
      <c r="H330" t="n">
        <v>7</v>
      </c>
      <c r="I330" s="11" t="n">
        <v>902.46</v>
      </c>
      <c r="J330" s="12" t="n">
        <v>0.15</v>
      </c>
      <c r="K330" s="11" t="n">
        <v>5369.64</v>
      </c>
      <c r="L330" s="11" t="n">
        <v>1005.57</v>
      </c>
      <c r="M330" s="12" t="n">
        <v>0.1873</v>
      </c>
    </row>
    <row r="331">
      <c r="A331" t="inlineStr">
        <is>
          <t>ORD-11926</t>
        </is>
      </c>
      <c r="B331" s="10" t="inlineStr">
        <is>
          <t>2024-04-25</t>
        </is>
      </c>
      <c r="C331" t="inlineStr">
        <is>
          <t>Customer 21</t>
        </is>
      </c>
      <c r="D331" t="inlineStr">
        <is>
          <t>East</t>
        </is>
      </c>
      <c r="E331" t="inlineStr">
        <is>
          <t>Office Supplies</t>
        </is>
      </c>
      <c r="F331" t="inlineStr">
        <is>
          <t>Stapler</t>
        </is>
      </c>
      <c r="G331" t="inlineStr">
        <is>
          <t>Second Class</t>
        </is>
      </c>
      <c r="H331" t="n">
        <v>10</v>
      </c>
      <c r="I331" s="11" t="n">
        <v>954.22</v>
      </c>
      <c r="J331" s="12" t="n">
        <v>0</v>
      </c>
      <c r="K331" s="11" t="n">
        <v>9542.200000000001</v>
      </c>
      <c r="L331" s="11" t="n">
        <v>3178.47</v>
      </c>
      <c r="M331" s="12" t="n">
        <v>0.3331</v>
      </c>
    </row>
    <row r="332">
      <c r="A332" t="inlineStr">
        <is>
          <t>ORD-10762</t>
        </is>
      </c>
      <c r="B332" s="10" t="inlineStr">
        <is>
          <t>2024-04-26</t>
        </is>
      </c>
      <c r="C332" t="inlineStr">
        <is>
          <t>Customer 47</t>
        </is>
      </c>
      <c r="D332" t="inlineStr">
        <is>
          <t>South</t>
        </is>
      </c>
      <c r="E332" t="inlineStr">
        <is>
          <t>Office Supplies</t>
        </is>
      </c>
      <c r="F332" t="inlineStr">
        <is>
          <t>Pens (Box)</t>
        </is>
      </c>
      <c r="G332" t="inlineStr">
        <is>
          <t>First Class</t>
        </is>
      </c>
      <c r="H332" t="n">
        <v>11</v>
      </c>
      <c r="I332" s="11" t="n">
        <v>1176.39</v>
      </c>
      <c r="J332" s="12" t="n">
        <v>0</v>
      </c>
      <c r="K332" s="11" t="n">
        <v>12940.29</v>
      </c>
      <c r="L332" s="11" t="n">
        <v>4560.27</v>
      </c>
      <c r="M332" s="12" t="n">
        <v>0.3524</v>
      </c>
    </row>
    <row r="333">
      <c r="A333" t="inlineStr">
        <is>
          <t>ORD-11170</t>
        </is>
      </c>
      <c r="B333" s="10" t="inlineStr">
        <is>
          <t>2024-04-26</t>
        </is>
      </c>
      <c r="C333" t="inlineStr">
        <is>
          <t>Customer 118</t>
        </is>
      </c>
      <c r="D333" t="inlineStr">
        <is>
          <t>North</t>
        </is>
      </c>
      <c r="E333" t="inlineStr">
        <is>
          <t>Furniture</t>
        </is>
      </c>
      <c r="F333" t="inlineStr">
        <is>
          <t>Bookcase</t>
        </is>
      </c>
      <c r="G333" t="inlineStr">
        <is>
          <t>Second Class</t>
        </is>
      </c>
      <c r="H333" t="n">
        <v>11</v>
      </c>
      <c r="I333" s="11" t="n">
        <v>636.25</v>
      </c>
      <c r="J333" s="12" t="n">
        <v>0</v>
      </c>
      <c r="K333" s="11" t="n">
        <v>6998.75</v>
      </c>
      <c r="L333" s="11" t="n">
        <v>1926.03</v>
      </c>
      <c r="M333" s="12" t="n">
        <v>0.2752</v>
      </c>
    </row>
    <row r="334">
      <c r="A334" t="inlineStr">
        <is>
          <t>ORD-10752</t>
        </is>
      </c>
      <c r="B334" s="10" t="inlineStr">
        <is>
          <t>2024-04-27</t>
        </is>
      </c>
      <c r="C334" t="inlineStr">
        <is>
          <t>Customer 176</t>
        </is>
      </c>
      <c r="D334" t="inlineStr">
        <is>
          <t>South</t>
        </is>
      </c>
      <c r="E334" t="inlineStr">
        <is>
          <t>Technology</t>
        </is>
      </c>
      <c r="F334" t="inlineStr">
        <is>
          <t>Monitor</t>
        </is>
      </c>
      <c r="G334" t="inlineStr">
        <is>
          <t>Standard Class</t>
        </is>
      </c>
      <c r="H334" t="n">
        <v>9</v>
      </c>
      <c r="I334" s="11" t="n">
        <v>372.11</v>
      </c>
      <c r="J334" s="12" t="n">
        <v>0</v>
      </c>
      <c r="K334" s="11" t="n">
        <v>3348.99</v>
      </c>
      <c r="L334" s="11" t="n">
        <v>932.4</v>
      </c>
      <c r="M334" s="12" t="n">
        <v>0.2784</v>
      </c>
    </row>
    <row r="335">
      <c r="A335" t="inlineStr">
        <is>
          <t>ORD-10602</t>
        </is>
      </c>
      <c r="B335" s="10" t="inlineStr">
        <is>
          <t>2024-04-27</t>
        </is>
      </c>
      <c r="C335" t="inlineStr">
        <is>
          <t>Customer 118</t>
        </is>
      </c>
      <c r="D335" t="inlineStr">
        <is>
          <t>North</t>
        </is>
      </c>
      <c r="E335" t="inlineStr">
        <is>
          <t>Office Supplies</t>
        </is>
      </c>
      <c r="F335" t="inlineStr">
        <is>
          <t>Paper</t>
        </is>
      </c>
      <c r="G335" t="inlineStr">
        <is>
          <t>Same Day</t>
        </is>
      </c>
      <c r="H335" t="n">
        <v>5</v>
      </c>
      <c r="I335" s="11" t="n">
        <v>736.61</v>
      </c>
      <c r="J335" s="12" t="n">
        <v>0</v>
      </c>
      <c r="K335" s="11" t="n">
        <v>3683.05</v>
      </c>
      <c r="L335" s="11" t="n">
        <v>1619.33</v>
      </c>
      <c r="M335" s="12" t="n">
        <v>0.4397</v>
      </c>
    </row>
    <row r="336">
      <c r="A336" t="inlineStr">
        <is>
          <t>ORD-10970</t>
        </is>
      </c>
      <c r="B336" s="10" t="inlineStr">
        <is>
          <t>2024-04-27</t>
        </is>
      </c>
      <c r="C336" t="inlineStr">
        <is>
          <t>Customer 105</t>
        </is>
      </c>
      <c r="D336" t="inlineStr">
        <is>
          <t>West</t>
        </is>
      </c>
      <c r="E336" t="inlineStr">
        <is>
          <t>Technology</t>
        </is>
      </c>
      <c r="F336" t="inlineStr">
        <is>
          <t>Wireless Mouse</t>
        </is>
      </c>
      <c r="G336" t="inlineStr">
        <is>
          <t>Standard Class</t>
        </is>
      </c>
      <c r="H336" t="n">
        <v>10</v>
      </c>
      <c r="I336" s="11" t="n">
        <v>253.18</v>
      </c>
      <c r="J336" s="12" t="n">
        <v>0</v>
      </c>
      <c r="K336" s="11" t="n">
        <v>2531.8</v>
      </c>
      <c r="L336" s="11" t="n">
        <v>801.01</v>
      </c>
      <c r="M336" s="12" t="n">
        <v>0.3164</v>
      </c>
    </row>
    <row r="337">
      <c r="A337" t="inlineStr">
        <is>
          <t>ORD-10764</t>
        </is>
      </c>
      <c r="B337" s="10" t="inlineStr">
        <is>
          <t>2024-04-27</t>
        </is>
      </c>
      <c r="C337" t="inlineStr">
        <is>
          <t>Customer 82</t>
        </is>
      </c>
      <c r="D337" t="inlineStr">
        <is>
          <t>South</t>
        </is>
      </c>
      <c r="E337" t="inlineStr">
        <is>
          <t>Technology</t>
        </is>
      </c>
      <c r="F337" t="inlineStr">
        <is>
          <t>Laptop</t>
        </is>
      </c>
      <c r="G337" t="inlineStr">
        <is>
          <t>First Class</t>
        </is>
      </c>
      <c r="H337" t="n">
        <v>8</v>
      </c>
      <c r="I337" s="11" t="n">
        <v>365.95</v>
      </c>
      <c r="J337" s="12" t="n">
        <v>0</v>
      </c>
      <c r="K337" s="11" t="n">
        <v>2927.6</v>
      </c>
      <c r="L337" s="11" t="n">
        <v>519.14</v>
      </c>
      <c r="M337" s="12" t="n">
        <v>0.1773</v>
      </c>
    </row>
    <row r="338">
      <c r="A338" t="inlineStr">
        <is>
          <t>ORD-11775</t>
        </is>
      </c>
      <c r="B338" s="10" t="inlineStr">
        <is>
          <t>2024-04-27</t>
        </is>
      </c>
      <c r="C338" t="inlineStr">
        <is>
          <t>Customer 76</t>
        </is>
      </c>
      <c r="D338" t="inlineStr">
        <is>
          <t>South</t>
        </is>
      </c>
      <c r="E338" t="inlineStr">
        <is>
          <t>Technology</t>
        </is>
      </c>
      <c r="F338" t="inlineStr">
        <is>
          <t>Laptop</t>
        </is>
      </c>
      <c r="G338" t="inlineStr">
        <is>
          <t>Second Class</t>
        </is>
      </c>
      <c r="H338" t="n">
        <v>3</v>
      </c>
      <c r="I338" s="11" t="n">
        <v>174.04</v>
      </c>
      <c r="J338" s="12" t="n">
        <v>0</v>
      </c>
      <c r="K338" s="11" t="n">
        <v>522.12</v>
      </c>
      <c r="L338" s="11" t="n">
        <v>167.69</v>
      </c>
      <c r="M338" s="12" t="n">
        <v>0.3212</v>
      </c>
    </row>
    <row r="339">
      <c r="A339" t="inlineStr">
        <is>
          <t>ORD-11128</t>
        </is>
      </c>
      <c r="B339" s="10" t="inlineStr">
        <is>
          <t>2024-04-27</t>
        </is>
      </c>
      <c r="C339" t="inlineStr">
        <is>
          <t>Customer 177</t>
        </is>
      </c>
      <c r="D339" t="inlineStr">
        <is>
          <t>East</t>
        </is>
      </c>
      <c r="E339" t="inlineStr">
        <is>
          <t>Office Supplies</t>
        </is>
      </c>
      <c r="F339" t="inlineStr">
        <is>
          <t>Pens (Box)</t>
        </is>
      </c>
      <c r="G339" t="inlineStr">
        <is>
          <t>First Class</t>
        </is>
      </c>
      <c r="H339" t="n">
        <v>6</v>
      </c>
      <c r="I339" s="11" t="n">
        <v>721.26</v>
      </c>
      <c r="J339" s="12" t="n">
        <v>0.2</v>
      </c>
      <c r="K339" s="11" t="n">
        <v>3462.05</v>
      </c>
      <c r="L339" s="11" t="n">
        <v>37.32</v>
      </c>
      <c r="M339" s="12" t="n">
        <v>0.0108</v>
      </c>
    </row>
    <row r="340">
      <c r="A340" t="inlineStr">
        <is>
          <t>ORD-10132</t>
        </is>
      </c>
      <c r="B340" s="10" t="inlineStr">
        <is>
          <t>2024-04-27</t>
        </is>
      </c>
      <c r="C340" t="inlineStr">
        <is>
          <t>Customer 113</t>
        </is>
      </c>
      <c r="D340" t="inlineStr">
        <is>
          <t>East</t>
        </is>
      </c>
      <c r="E340" t="inlineStr">
        <is>
          <t>Furniture</t>
        </is>
      </c>
      <c r="F340" t="inlineStr">
        <is>
          <t>Chair</t>
        </is>
      </c>
      <c r="G340" t="inlineStr">
        <is>
          <t>First Class</t>
        </is>
      </c>
      <c r="H340" t="n">
        <v>4</v>
      </c>
      <c r="I340" s="11" t="n">
        <v>1128.32</v>
      </c>
      <c r="J340" s="12" t="n">
        <v>0.15</v>
      </c>
      <c r="K340" s="11" t="n">
        <v>3836.29</v>
      </c>
      <c r="L340" s="11" t="n">
        <v>351.7</v>
      </c>
      <c r="M340" s="12" t="n">
        <v>0.0917</v>
      </c>
    </row>
    <row r="341">
      <c r="A341" t="inlineStr">
        <is>
          <t>ORD-11677</t>
        </is>
      </c>
      <c r="B341" s="10" t="inlineStr">
        <is>
          <t>2024-04-28</t>
        </is>
      </c>
      <c r="C341" t="inlineStr">
        <is>
          <t>Customer 183</t>
        </is>
      </c>
      <c r="D341" t="inlineStr">
        <is>
          <t>South</t>
        </is>
      </c>
      <c r="E341" t="inlineStr">
        <is>
          <t>Office Supplies</t>
        </is>
      </c>
      <c r="F341" t="inlineStr">
        <is>
          <t>Paper</t>
        </is>
      </c>
      <c r="G341" t="inlineStr">
        <is>
          <t>Standard Class</t>
        </is>
      </c>
      <c r="H341" t="n">
        <v>10</v>
      </c>
      <c r="I341" s="11" t="n">
        <v>422.87</v>
      </c>
      <c r="J341" s="12" t="n">
        <v>0.1</v>
      </c>
      <c r="K341" s="11" t="n">
        <v>3805.83</v>
      </c>
      <c r="L341" s="11" t="n">
        <v>887.76</v>
      </c>
      <c r="M341" s="12" t="n">
        <v>0.2333</v>
      </c>
    </row>
    <row r="342">
      <c r="A342" t="inlineStr">
        <is>
          <t>ORD-11421</t>
        </is>
      </c>
      <c r="B342" s="10" t="inlineStr">
        <is>
          <t>2024-04-28</t>
        </is>
      </c>
      <c r="C342" t="inlineStr">
        <is>
          <t>Customer 78</t>
        </is>
      </c>
      <c r="D342" t="inlineStr">
        <is>
          <t>North</t>
        </is>
      </c>
      <c r="E342" t="inlineStr">
        <is>
          <t>Technology</t>
        </is>
      </c>
      <c r="F342" t="inlineStr">
        <is>
          <t>Monitor</t>
        </is>
      </c>
      <c r="G342" t="inlineStr">
        <is>
          <t>Second Class</t>
        </is>
      </c>
      <c r="H342" t="n">
        <v>1</v>
      </c>
      <c r="I342" s="11" t="n">
        <v>457.24</v>
      </c>
      <c r="J342" s="12" t="n">
        <v>0</v>
      </c>
      <c r="K342" s="11" t="n">
        <v>457.24</v>
      </c>
      <c r="L342" s="11" t="n">
        <v>123.53</v>
      </c>
      <c r="M342" s="12" t="n">
        <v>0.2702</v>
      </c>
    </row>
    <row r="343">
      <c r="A343" t="inlineStr">
        <is>
          <t>ORD-11900</t>
        </is>
      </c>
      <c r="B343" s="10" t="inlineStr">
        <is>
          <t>2024-04-28</t>
        </is>
      </c>
      <c r="C343" t="inlineStr">
        <is>
          <t>Customer 153</t>
        </is>
      </c>
      <c r="D343" t="inlineStr">
        <is>
          <t>West</t>
        </is>
      </c>
      <c r="E343" t="inlineStr">
        <is>
          <t>Furniture</t>
        </is>
      </c>
      <c r="F343" t="inlineStr">
        <is>
          <t>Desk</t>
        </is>
      </c>
      <c r="G343" t="inlineStr">
        <is>
          <t>Second Class</t>
        </is>
      </c>
      <c r="H343" t="n">
        <v>10</v>
      </c>
      <c r="I343" s="11" t="n">
        <v>802.08</v>
      </c>
      <c r="J343" s="12" t="n">
        <v>0</v>
      </c>
      <c r="K343" s="11" t="n">
        <v>8020.8</v>
      </c>
      <c r="L343" s="11" t="n">
        <v>1736.3</v>
      </c>
      <c r="M343" s="12" t="n">
        <v>0.2165</v>
      </c>
    </row>
    <row r="344">
      <c r="A344" t="inlineStr">
        <is>
          <t>ORD-11528</t>
        </is>
      </c>
      <c r="B344" s="10" t="inlineStr">
        <is>
          <t>2024-04-28</t>
        </is>
      </c>
      <c r="C344" t="inlineStr">
        <is>
          <t>Customer 112</t>
        </is>
      </c>
      <c r="D344" t="inlineStr">
        <is>
          <t>West</t>
        </is>
      </c>
      <c r="E344" t="inlineStr">
        <is>
          <t>Furniture</t>
        </is>
      </c>
      <c r="F344" t="inlineStr">
        <is>
          <t>Table Lamp</t>
        </is>
      </c>
      <c r="G344" t="inlineStr">
        <is>
          <t>Same Day</t>
        </is>
      </c>
      <c r="H344" t="n">
        <v>2</v>
      </c>
      <c r="I344" s="11" t="n">
        <v>1055.74</v>
      </c>
      <c r="J344" s="12" t="n">
        <v>0.1</v>
      </c>
      <c r="K344" s="11" t="n">
        <v>1900.33</v>
      </c>
      <c r="L344" s="11" t="n">
        <v>418.28</v>
      </c>
      <c r="M344" s="12" t="n">
        <v>0.2201</v>
      </c>
    </row>
    <row r="345">
      <c r="A345" t="inlineStr">
        <is>
          <t>ORD-11523</t>
        </is>
      </c>
      <c r="B345" s="10" t="inlineStr">
        <is>
          <t>2024-04-28</t>
        </is>
      </c>
      <c r="C345" t="inlineStr">
        <is>
          <t>Customer 140</t>
        </is>
      </c>
      <c r="D345" t="inlineStr">
        <is>
          <t>South</t>
        </is>
      </c>
      <c r="E345" t="inlineStr">
        <is>
          <t>Furniture</t>
        </is>
      </c>
      <c r="F345" t="inlineStr">
        <is>
          <t>Desk</t>
        </is>
      </c>
      <c r="G345" t="inlineStr">
        <is>
          <t>Second Class</t>
        </is>
      </c>
      <c r="H345" t="n">
        <v>4</v>
      </c>
      <c r="I345" s="11" t="n">
        <v>538.86</v>
      </c>
      <c r="J345" s="12" t="n">
        <v>0</v>
      </c>
      <c r="K345" s="11" t="n">
        <v>2155.44</v>
      </c>
      <c r="L345" s="11" t="n">
        <v>952.98</v>
      </c>
      <c r="M345" s="12" t="n">
        <v>0.4421</v>
      </c>
    </row>
    <row r="346">
      <c r="A346" t="inlineStr">
        <is>
          <t>ORD-10122</t>
        </is>
      </c>
      <c r="B346" s="10" t="inlineStr">
        <is>
          <t>2024-04-28</t>
        </is>
      </c>
      <c r="C346" t="inlineStr">
        <is>
          <t>Customer 26</t>
        </is>
      </c>
      <c r="D346" t="inlineStr">
        <is>
          <t>East</t>
        </is>
      </c>
      <c r="E346" t="inlineStr">
        <is>
          <t>Office Supplies</t>
        </is>
      </c>
      <c r="F346" t="inlineStr">
        <is>
          <t>Paper</t>
        </is>
      </c>
      <c r="G346" t="inlineStr">
        <is>
          <t>Standard Class</t>
        </is>
      </c>
      <c r="H346" t="n">
        <v>4</v>
      </c>
      <c r="I346" s="11" t="n">
        <v>823.05</v>
      </c>
      <c r="J346" s="12" t="n">
        <v>0</v>
      </c>
      <c r="K346" s="11" t="n">
        <v>3292.2</v>
      </c>
      <c r="L346" s="11" t="n">
        <v>545.8</v>
      </c>
      <c r="M346" s="12" t="n">
        <v>0.1658</v>
      </c>
    </row>
    <row r="347">
      <c r="A347" t="inlineStr">
        <is>
          <t>ORD-10167</t>
        </is>
      </c>
      <c r="B347" s="10" t="inlineStr">
        <is>
          <t>2024-04-28</t>
        </is>
      </c>
      <c r="C347" t="inlineStr">
        <is>
          <t>Customer 36</t>
        </is>
      </c>
      <c r="D347" t="inlineStr">
        <is>
          <t>North</t>
        </is>
      </c>
      <c r="E347" t="inlineStr">
        <is>
          <t>Furniture</t>
        </is>
      </c>
      <c r="F347" t="inlineStr">
        <is>
          <t>Bookcase</t>
        </is>
      </c>
      <c r="G347" t="inlineStr">
        <is>
          <t>Standard Class</t>
        </is>
      </c>
      <c r="H347" t="n">
        <v>9</v>
      </c>
      <c r="I347" s="11" t="n">
        <v>147.1</v>
      </c>
      <c r="J347" s="12" t="n">
        <v>0</v>
      </c>
      <c r="K347" s="11" t="n">
        <v>1323.9</v>
      </c>
      <c r="L347" s="11" t="n">
        <v>580.26</v>
      </c>
      <c r="M347" s="12" t="n">
        <v>0.4383</v>
      </c>
    </row>
    <row r="348">
      <c r="A348" t="inlineStr">
        <is>
          <t>ORD-10068</t>
        </is>
      </c>
      <c r="B348" s="10" t="inlineStr">
        <is>
          <t>2024-04-29</t>
        </is>
      </c>
      <c r="C348" t="inlineStr">
        <is>
          <t>Customer 111</t>
        </is>
      </c>
      <c r="D348" t="inlineStr">
        <is>
          <t>South</t>
        </is>
      </c>
      <c r="E348" t="inlineStr">
        <is>
          <t>Office Supplies</t>
        </is>
      </c>
      <c r="F348" t="inlineStr">
        <is>
          <t>Stapler</t>
        </is>
      </c>
      <c r="G348" t="inlineStr">
        <is>
          <t>First Class</t>
        </is>
      </c>
      <c r="H348" t="n">
        <v>6</v>
      </c>
      <c r="I348" s="11" t="n">
        <v>203.26</v>
      </c>
      <c r="J348" s="12" t="n">
        <v>0.15</v>
      </c>
      <c r="K348" s="11" t="n">
        <v>1036.63</v>
      </c>
      <c r="L348" s="11" t="n">
        <v>4.64</v>
      </c>
      <c r="M348" s="12" t="n">
        <v>0.0045</v>
      </c>
    </row>
    <row r="349">
      <c r="A349" t="inlineStr">
        <is>
          <t>ORD-11249</t>
        </is>
      </c>
      <c r="B349" s="10" t="inlineStr">
        <is>
          <t>2024-04-29</t>
        </is>
      </c>
      <c r="C349" t="inlineStr">
        <is>
          <t>Customer 170</t>
        </is>
      </c>
      <c r="D349" t="inlineStr">
        <is>
          <t>North</t>
        </is>
      </c>
      <c r="E349" t="inlineStr">
        <is>
          <t>Office Supplies</t>
        </is>
      </c>
      <c r="F349" t="inlineStr">
        <is>
          <t>Pens (Box)</t>
        </is>
      </c>
      <c r="G349" t="inlineStr">
        <is>
          <t>Standard Class</t>
        </is>
      </c>
      <c r="H349" t="n">
        <v>7</v>
      </c>
      <c r="I349" s="11" t="n">
        <v>288.34</v>
      </c>
      <c r="J349" s="12" t="n">
        <v>0</v>
      </c>
      <c r="K349" s="11" t="n">
        <v>2018.38</v>
      </c>
      <c r="L349" s="11" t="n">
        <v>407.36</v>
      </c>
      <c r="M349" s="12" t="n">
        <v>0.2018</v>
      </c>
    </row>
    <row r="350">
      <c r="A350" t="inlineStr">
        <is>
          <t>ORD-11683</t>
        </is>
      </c>
      <c r="B350" s="10" t="inlineStr">
        <is>
          <t>2024-04-30</t>
        </is>
      </c>
      <c r="C350" t="inlineStr">
        <is>
          <t>Customer 153</t>
        </is>
      </c>
      <c r="D350" t="inlineStr">
        <is>
          <t>South</t>
        </is>
      </c>
      <c r="E350" t="inlineStr">
        <is>
          <t>Technology</t>
        </is>
      </c>
      <c r="F350" t="inlineStr">
        <is>
          <t>Laptop</t>
        </is>
      </c>
      <c r="G350" t="inlineStr">
        <is>
          <t>Standard Class</t>
        </is>
      </c>
      <c r="H350" t="n">
        <v>6</v>
      </c>
      <c r="I350" s="11" t="n">
        <v>643.55</v>
      </c>
      <c r="J350" s="12" t="n">
        <v>0</v>
      </c>
      <c r="K350" s="11" t="n">
        <v>10937.1</v>
      </c>
      <c r="L350" s="11" t="n">
        <v>646.9449999999999</v>
      </c>
      <c r="M350" s="12" t="n">
        <v>0.0592</v>
      </c>
    </row>
    <row r="351">
      <c r="A351" t="inlineStr">
        <is>
          <t>ORD-10108</t>
        </is>
      </c>
      <c r="B351" s="10" t="inlineStr">
        <is>
          <t>2024-04-30</t>
        </is>
      </c>
      <c r="C351" t="inlineStr">
        <is>
          <t>Customer 10</t>
        </is>
      </c>
      <c r="D351" t="inlineStr">
        <is>
          <t>North</t>
        </is>
      </c>
      <c r="E351" t="inlineStr">
        <is>
          <t>Technology</t>
        </is>
      </c>
      <c r="F351" t="inlineStr">
        <is>
          <t>Laptop</t>
        </is>
      </c>
      <c r="G351" t="inlineStr">
        <is>
          <t>Second Class</t>
        </is>
      </c>
      <c r="H351" t="n">
        <v>8</v>
      </c>
      <c r="I351" s="11" t="n">
        <v>871.59</v>
      </c>
      <c r="J351" s="12" t="n">
        <v>0.1</v>
      </c>
      <c r="K351" s="11" t="n">
        <v>6275.45</v>
      </c>
      <c r="L351" s="11" t="n">
        <v>986.62</v>
      </c>
      <c r="M351" s="12" t="n">
        <v>0.1572</v>
      </c>
    </row>
    <row r="352">
      <c r="A352" t="inlineStr">
        <is>
          <t>ORD-11233</t>
        </is>
      </c>
      <c r="B352" s="10" t="inlineStr">
        <is>
          <t>2024-05-01</t>
        </is>
      </c>
      <c r="C352" t="inlineStr">
        <is>
          <t>Customer 122</t>
        </is>
      </c>
      <c r="D352" t="inlineStr">
        <is>
          <t>East</t>
        </is>
      </c>
      <c r="E352" t="inlineStr">
        <is>
          <t>Technology</t>
        </is>
      </c>
      <c r="F352" t="inlineStr">
        <is>
          <t>Monitor</t>
        </is>
      </c>
      <c r="G352" t="inlineStr">
        <is>
          <t>Same Day</t>
        </is>
      </c>
      <c r="H352" t="n">
        <v>7</v>
      </c>
      <c r="I352" s="11" t="n">
        <v>358.62</v>
      </c>
      <c r="J352" s="12" t="n">
        <v>0</v>
      </c>
      <c r="K352" s="11" t="n">
        <v>2510.34</v>
      </c>
      <c r="L352" s="11" t="n">
        <v>423.51</v>
      </c>
      <c r="M352" s="12" t="n">
        <v>0.1687</v>
      </c>
    </row>
    <row r="353">
      <c r="A353" t="inlineStr">
        <is>
          <t>ORD-10400</t>
        </is>
      </c>
      <c r="B353" s="10" t="inlineStr">
        <is>
          <t>2024-05-01</t>
        </is>
      </c>
      <c r="C353" t="inlineStr">
        <is>
          <t>Customer 54</t>
        </is>
      </c>
      <c r="D353" t="inlineStr">
        <is>
          <t>South</t>
        </is>
      </c>
      <c r="E353" t="inlineStr">
        <is>
          <t>Technology</t>
        </is>
      </c>
      <c r="F353" t="inlineStr">
        <is>
          <t>Wireless Mouse</t>
        </is>
      </c>
      <c r="G353" t="inlineStr">
        <is>
          <t>Same Day</t>
        </is>
      </c>
      <c r="H353" t="n">
        <v>2</v>
      </c>
      <c r="I353" s="11" t="n">
        <v>984.49</v>
      </c>
      <c r="J353" s="12" t="n">
        <v>0</v>
      </c>
      <c r="K353" s="11" t="n">
        <v>1968.98</v>
      </c>
      <c r="L353" s="11" t="n">
        <v>713.45</v>
      </c>
      <c r="M353" s="12" t="n">
        <v>0.3623</v>
      </c>
    </row>
    <row r="354">
      <c r="A354" t="inlineStr">
        <is>
          <t>ORD-10946</t>
        </is>
      </c>
      <c r="B354" s="10" t="inlineStr">
        <is>
          <t>2024-05-01</t>
        </is>
      </c>
      <c r="C354" t="inlineStr">
        <is>
          <t>Customer 162</t>
        </is>
      </c>
      <c r="D354" t="inlineStr">
        <is>
          <t>East</t>
        </is>
      </c>
      <c r="E354" t="inlineStr">
        <is>
          <t>Furniture</t>
        </is>
      </c>
      <c r="F354" t="inlineStr">
        <is>
          <t>Table Lamp</t>
        </is>
      </c>
      <c r="G354" t="inlineStr">
        <is>
          <t>First Class</t>
        </is>
      </c>
      <c r="H354" t="n">
        <v>2</v>
      </c>
      <c r="I354" s="11" t="n">
        <v>113.95</v>
      </c>
      <c r="J354" s="12" t="n">
        <v>0.2</v>
      </c>
      <c r="K354" s="11" t="n">
        <v>182.32</v>
      </c>
      <c r="L354" s="11" t="n">
        <v>-8.49</v>
      </c>
      <c r="M354" s="12" t="n">
        <v>-0.0466</v>
      </c>
    </row>
    <row r="355">
      <c r="A355" t="inlineStr">
        <is>
          <t>ORD-10754</t>
        </is>
      </c>
      <c r="B355" s="10" t="inlineStr">
        <is>
          <t>2024-05-02</t>
        </is>
      </c>
      <c r="C355" t="inlineStr">
        <is>
          <t>Customer 46</t>
        </is>
      </c>
      <c r="D355" t="inlineStr">
        <is>
          <t>West</t>
        </is>
      </c>
      <c r="E355" t="inlineStr">
        <is>
          <t>Furniture</t>
        </is>
      </c>
      <c r="F355" t="inlineStr">
        <is>
          <t>Chair</t>
        </is>
      </c>
      <c r="G355" t="inlineStr">
        <is>
          <t>Standard Class</t>
        </is>
      </c>
      <c r="H355" t="n">
        <v>11</v>
      </c>
      <c r="I355" s="11" t="n">
        <v>568.02</v>
      </c>
      <c r="J355" s="12" t="n">
        <v>0</v>
      </c>
      <c r="K355" s="11" t="n">
        <v>6248.22</v>
      </c>
      <c r="L355" s="11" t="n">
        <v>1778.68</v>
      </c>
      <c r="M355" s="12" t="n">
        <v>0.2847</v>
      </c>
    </row>
    <row r="356">
      <c r="A356" t="inlineStr">
        <is>
          <t>ORD-11075</t>
        </is>
      </c>
      <c r="B356" s="10" t="inlineStr">
        <is>
          <t>2024-05-02</t>
        </is>
      </c>
      <c r="C356" t="inlineStr">
        <is>
          <t>Customer 103</t>
        </is>
      </c>
      <c r="D356" t="inlineStr">
        <is>
          <t>West</t>
        </is>
      </c>
      <c r="E356" t="inlineStr">
        <is>
          <t>Office Supplies</t>
        </is>
      </c>
      <c r="F356" t="inlineStr">
        <is>
          <t>Binder</t>
        </is>
      </c>
      <c r="G356" t="inlineStr">
        <is>
          <t>Standard Class</t>
        </is>
      </c>
      <c r="H356" t="n">
        <v>9</v>
      </c>
      <c r="I356" s="11" t="n">
        <v>253.76</v>
      </c>
      <c r="J356" s="12" t="n">
        <v>0</v>
      </c>
      <c r="K356" s="11" t="n">
        <v>2283.84</v>
      </c>
      <c r="L356" s="11" t="n">
        <v>537.02</v>
      </c>
      <c r="M356" s="12" t="n">
        <v>0.2351</v>
      </c>
    </row>
    <row r="357">
      <c r="A357" t="inlineStr">
        <is>
          <t>ORD-11260</t>
        </is>
      </c>
      <c r="B357" s="10" t="inlineStr">
        <is>
          <t>2024-05-02</t>
        </is>
      </c>
      <c r="C357" t="inlineStr">
        <is>
          <t>Customer 176</t>
        </is>
      </c>
      <c r="D357" t="inlineStr">
        <is>
          <t>South</t>
        </is>
      </c>
      <c r="E357" t="inlineStr">
        <is>
          <t>Technology</t>
        </is>
      </c>
      <c r="F357" t="inlineStr">
        <is>
          <t>Laptop</t>
        </is>
      </c>
      <c r="G357" t="inlineStr">
        <is>
          <t>Standard Class</t>
        </is>
      </c>
      <c r="H357" t="n">
        <v>7</v>
      </c>
      <c r="I357" s="11" t="n">
        <v>484.32</v>
      </c>
      <c r="J357" s="12" t="n">
        <v>0.2</v>
      </c>
      <c r="K357" s="11" t="n">
        <v>2712.19</v>
      </c>
      <c r="L357" s="11" t="n">
        <v>602.53</v>
      </c>
      <c r="M357" s="12" t="n">
        <v>0.2222</v>
      </c>
    </row>
    <row r="358">
      <c r="A358" t="inlineStr">
        <is>
          <t>ORD-11537</t>
        </is>
      </c>
      <c r="B358" s="10" t="inlineStr">
        <is>
          <t>2024-05-03</t>
        </is>
      </c>
      <c r="C358" t="inlineStr">
        <is>
          <t>Customer 90</t>
        </is>
      </c>
      <c r="D358" t="inlineStr">
        <is>
          <t>West</t>
        </is>
      </c>
      <c r="E358" t="inlineStr">
        <is>
          <t>Technology</t>
        </is>
      </c>
      <c r="F358" t="inlineStr">
        <is>
          <t>Printer</t>
        </is>
      </c>
      <c r="G358" t="inlineStr">
        <is>
          <t>First Class</t>
        </is>
      </c>
      <c r="H358" t="n">
        <v>9</v>
      </c>
      <c r="I358" s="11" t="n">
        <v>837.88</v>
      </c>
      <c r="J358" s="12" t="n">
        <v>0.15</v>
      </c>
      <c r="K358" s="11" t="n">
        <v>6409.78</v>
      </c>
      <c r="L358" s="11" t="n">
        <v>2210.45</v>
      </c>
      <c r="M358" s="12" t="n">
        <v>0.3449</v>
      </c>
    </row>
    <row r="359">
      <c r="A359" t="inlineStr">
        <is>
          <t>ORD-10786</t>
        </is>
      </c>
      <c r="B359" s="10" t="inlineStr">
        <is>
          <t>2024-05-04</t>
        </is>
      </c>
      <c r="C359" t="inlineStr">
        <is>
          <t>Customer 155</t>
        </is>
      </c>
      <c r="D359" t="inlineStr">
        <is>
          <t>South</t>
        </is>
      </c>
      <c r="E359" t="inlineStr">
        <is>
          <t>Furniture</t>
        </is>
      </c>
      <c r="F359" t="inlineStr">
        <is>
          <t>Desk</t>
        </is>
      </c>
      <c r="G359" t="inlineStr">
        <is>
          <t>Standard Class</t>
        </is>
      </c>
      <c r="H359" t="n">
        <v>5</v>
      </c>
      <c r="I359" s="11" t="n">
        <v>28.56</v>
      </c>
      <c r="J359" s="12" t="n">
        <v>0</v>
      </c>
      <c r="K359" s="11" t="n">
        <v>142.8</v>
      </c>
      <c r="L359" s="11" t="n">
        <v>24.92</v>
      </c>
      <c r="M359" s="12" t="n">
        <v>0.1745</v>
      </c>
    </row>
    <row r="360">
      <c r="A360" t="inlineStr">
        <is>
          <t>ORD-11163</t>
        </is>
      </c>
      <c r="B360" s="10" t="inlineStr">
        <is>
          <t>2024-05-04</t>
        </is>
      </c>
      <c r="C360" t="inlineStr">
        <is>
          <t>Customer 37</t>
        </is>
      </c>
      <c r="D360" t="inlineStr">
        <is>
          <t>West</t>
        </is>
      </c>
      <c r="E360" t="inlineStr">
        <is>
          <t>Furniture</t>
        </is>
      </c>
      <c r="F360" t="inlineStr">
        <is>
          <t>Desk</t>
        </is>
      </c>
      <c r="G360" t="inlineStr">
        <is>
          <t>Second Class</t>
        </is>
      </c>
      <c r="H360" t="n">
        <v>3</v>
      </c>
      <c r="I360" s="11" t="n">
        <v>915.3099999999999</v>
      </c>
      <c r="J360" s="12" t="n">
        <v>0.1</v>
      </c>
      <c r="K360" s="11" t="n">
        <v>2471.34</v>
      </c>
      <c r="L360" s="11" t="n">
        <v>352.19</v>
      </c>
      <c r="M360" s="12" t="n">
        <v>0.1425</v>
      </c>
    </row>
    <row r="361">
      <c r="A361" t="inlineStr">
        <is>
          <t>ORD-10095</t>
        </is>
      </c>
      <c r="B361" s="10" t="inlineStr">
        <is>
          <t>2024-05-04</t>
        </is>
      </c>
      <c r="C361" t="inlineStr">
        <is>
          <t>Customer 189</t>
        </is>
      </c>
      <c r="D361" t="inlineStr">
        <is>
          <t>North</t>
        </is>
      </c>
      <c r="E361" t="inlineStr">
        <is>
          <t>Office Supplies</t>
        </is>
      </c>
      <c r="F361" t="inlineStr">
        <is>
          <t>Binder</t>
        </is>
      </c>
      <c r="G361" t="inlineStr">
        <is>
          <t>Second Class</t>
        </is>
      </c>
      <c r="H361" t="n">
        <v>9</v>
      </c>
      <c r="I361" s="11" t="n">
        <v>1083.55</v>
      </c>
      <c r="J361" s="12" t="n">
        <v>0.1</v>
      </c>
      <c r="K361" s="11" t="n">
        <v>8776.75</v>
      </c>
      <c r="L361" s="11" t="n">
        <v>3268.72</v>
      </c>
      <c r="M361" s="12" t="n">
        <v>0.3724</v>
      </c>
    </row>
    <row r="362">
      <c r="A362" t="inlineStr">
        <is>
          <t>ORD-10402</t>
        </is>
      </c>
      <c r="B362" s="10" t="inlineStr">
        <is>
          <t>2024-05-04</t>
        </is>
      </c>
      <c r="C362" t="inlineStr">
        <is>
          <t>Customer 143</t>
        </is>
      </c>
      <c r="D362" t="inlineStr">
        <is>
          <t>South</t>
        </is>
      </c>
      <c r="E362" t="inlineStr">
        <is>
          <t>Furniture</t>
        </is>
      </c>
      <c r="F362" t="inlineStr">
        <is>
          <t>Chair</t>
        </is>
      </c>
      <c r="G362" t="inlineStr">
        <is>
          <t>Standard Class</t>
        </is>
      </c>
      <c r="H362" t="n">
        <v>4</v>
      </c>
      <c r="I362" s="11" t="n">
        <v>773.15</v>
      </c>
      <c r="J362" s="12" t="n">
        <v>0.3</v>
      </c>
      <c r="K362" s="11" t="n">
        <v>2164.82</v>
      </c>
      <c r="L362" s="11" t="n">
        <v>350.89</v>
      </c>
      <c r="M362" s="12" t="n">
        <v>0.1621</v>
      </c>
    </row>
    <row r="363">
      <c r="A363" t="inlineStr">
        <is>
          <t>ORD-11734</t>
        </is>
      </c>
      <c r="B363" s="10" t="inlineStr">
        <is>
          <t>2024-05-05</t>
        </is>
      </c>
      <c r="C363" t="inlineStr">
        <is>
          <t>Customer 174</t>
        </is>
      </c>
      <c r="D363" t="inlineStr">
        <is>
          <t>East</t>
        </is>
      </c>
      <c r="E363" t="inlineStr">
        <is>
          <t>Office Supplies</t>
        </is>
      </c>
      <c r="F363" t="inlineStr">
        <is>
          <t>Pens (Box)</t>
        </is>
      </c>
      <c r="G363" t="inlineStr">
        <is>
          <t>Standard Class</t>
        </is>
      </c>
      <c r="H363" t="n">
        <v>6</v>
      </c>
      <c r="I363" s="11" t="n">
        <v>961.87</v>
      </c>
      <c r="J363" s="12" t="n">
        <v>0</v>
      </c>
      <c r="K363" s="11" t="n">
        <v>5771.22</v>
      </c>
      <c r="L363" s="11" t="n">
        <v>1243.52</v>
      </c>
      <c r="M363" s="12" t="n">
        <v>0.2155</v>
      </c>
    </row>
    <row r="364">
      <c r="A364" t="inlineStr">
        <is>
          <t>ORD-11267</t>
        </is>
      </c>
      <c r="B364" s="10" t="inlineStr">
        <is>
          <t>2024-05-05</t>
        </is>
      </c>
      <c r="C364" t="inlineStr">
        <is>
          <t>Customer 21</t>
        </is>
      </c>
      <c r="D364" t="inlineStr">
        <is>
          <t>East</t>
        </is>
      </c>
      <c r="E364" t="inlineStr">
        <is>
          <t>Technology</t>
        </is>
      </c>
      <c r="F364" t="inlineStr">
        <is>
          <t>Monitor</t>
        </is>
      </c>
      <c r="G364" t="inlineStr">
        <is>
          <t>Second Class</t>
        </is>
      </c>
      <c r="H364" t="n">
        <v>3</v>
      </c>
      <c r="I364" s="11" t="n">
        <v>769.61</v>
      </c>
      <c r="J364" s="12" t="n">
        <v>0</v>
      </c>
      <c r="K364" s="11" t="n">
        <v>2308.83</v>
      </c>
      <c r="L364" s="11" t="n">
        <v>682.01</v>
      </c>
      <c r="M364" s="12" t="n">
        <v>0.2954</v>
      </c>
    </row>
    <row r="365">
      <c r="A365" t="inlineStr">
        <is>
          <t>ORD-11267</t>
        </is>
      </c>
      <c r="B365" s="10" t="inlineStr">
        <is>
          <t>2024-05-05</t>
        </is>
      </c>
      <c r="C365" t="inlineStr">
        <is>
          <t>Customer 21</t>
        </is>
      </c>
      <c r="D365" t="inlineStr">
        <is>
          <t>East</t>
        </is>
      </c>
      <c r="E365" t="inlineStr">
        <is>
          <t>Technology</t>
        </is>
      </c>
      <c r="F365" t="inlineStr">
        <is>
          <t>Monitor</t>
        </is>
      </c>
      <c r="G365" t="inlineStr">
        <is>
          <t>Second Class</t>
        </is>
      </c>
      <c r="H365" t="n">
        <v>3</v>
      </c>
      <c r="I365" s="11" t="n">
        <v>769.61</v>
      </c>
      <c r="J365" s="12" t="n">
        <v>0</v>
      </c>
      <c r="K365" s="11" t="n">
        <v>2308.83</v>
      </c>
      <c r="L365" s="11" t="n">
        <v>682.01</v>
      </c>
      <c r="M365" s="12" t="n">
        <v>0.2954</v>
      </c>
    </row>
    <row r="366">
      <c r="A366" t="inlineStr">
        <is>
          <t>ORD-11428</t>
        </is>
      </c>
      <c r="B366" s="10" t="inlineStr">
        <is>
          <t>2024-05-07</t>
        </is>
      </c>
      <c r="C366" t="inlineStr">
        <is>
          <t>Customer 16</t>
        </is>
      </c>
      <c r="D366" t="inlineStr">
        <is>
          <t>West</t>
        </is>
      </c>
      <c r="E366" t="inlineStr">
        <is>
          <t>Technology</t>
        </is>
      </c>
      <c r="F366" t="inlineStr">
        <is>
          <t>Wireless Mouse</t>
        </is>
      </c>
      <c r="G366" t="inlineStr">
        <is>
          <t>Second Class</t>
        </is>
      </c>
      <c r="H366" t="n">
        <v>1</v>
      </c>
      <c r="I366" s="11" t="n">
        <v>405.99</v>
      </c>
      <c r="J366" s="12" t="n">
        <v>0</v>
      </c>
      <c r="K366" s="11" t="n">
        <v>405.99</v>
      </c>
      <c r="L366" s="11" t="n">
        <v>136.99</v>
      </c>
      <c r="M366" s="12" t="n">
        <v>0.3374</v>
      </c>
    </row>
    <row r="367">
      <c r="A367" t="inlineStr">
        <is>
          <t>ORD-10223</t>
        </is>
      </c>
      <c r="B367" s="10" t="inlineStr">
        <is>
          <t>2024-05-07</t>
        </is>
      </c>
      <c r="C367" t="inlineStr">
        <is>
          <t>Customer 78</t>
        </is>
      </c>
      <c r="D367" t="inlineStr">
        <is>
          <t>North</t>
        </is>
      </c>
      <c r="E367" t="inlineStr">
        <is>
          <t>Furniture</t>
        </is>
      </c>
      <c r="F367" t="inlineStr">
        <is>
          <t>Chair</t>
        </is>
      </c>
      <c r="G367" t="inlineStr">
        <is>
          <t>Standard Class</t>
        </is>
      </c>
      <c r="H367" t="n">
        <v>6</v>
      </c>
      <c r="I367" s="11" t="n">
        <v>473.51</v>
      </c>
      <c r="J367" s="12" t="n">
        <v>0</v>
      </c>
      <c r="K367" s="11" t="n">
        <v>2841.06</v>
      </c>
      <c r="L367" s="11" t="n">
        <v>672.98</v>
      </c>
      <c r="M367" s="12" t="n">
        <v>0.2369</v>
      </c>
    </row>
    <row r="368">
      <c r="A368" t="inlineStr">
        <is>
          <t>ORD-11708</t>
        </is>
      </c>
      <c r="B368" s="10" t="inlineStr">
        <is>
          <t>2024-05-07</t>
        </is>
      </c>
      <c r="C368" t="inlineStr">
        <is>
          <t>Customer 187</t>
        </is>
      </c>
      <c r="D368" t="inlineStr">
        <is>
          <t>North</t>
        </is>
      </c>
      <c r="E368" t="inlineStr">
        <is>
          <t>Furniture</t>
        </is>
      </c>
      <c r="F368" t="inlineStr">
        <is>
          <t>Chair</t>
        </is>
      </c>
      <c r="G368" t="inlineStr">
        <is>
          <t>Standard Class</t>
        </is>
      </c>
      <c r="H368" t="n">
        <v>3</v>
      </c>
      <c r="I368" s="11" t="n">
        <v>202.86</v>
      </c>
      <c r="J368" s="12" t="n">
        <v>0</v>
      </c>
      <c r="K368" s="11" t="n">
        <v>608.58</v>
      </c>
      <c r="L368" s="11" t="n">
        <v>147.63</v>
      </c>
      <c r="M368" s="12" t="n">
        <v>0.2426</v>
      </c>
    </row>
    <row r="369">
      <c r="A369" t="inlineStr">
        <is>
          <t>ORD-10375</t>
        </is>
      </c>
      <c r="B369" s="10" t="inlineStr">
        <is>
          <t>2024-05-07</t>
        </is>
      </c>
      <c r="C369" t="inlineStr">
        <is>
          <t>Customer 35</t>
        </is>
      </c>
      <c r="D369" t="inlineStr">
        <is>
          <t>West</t>
        </is>
      </c>
      <c r="E369" t="inlineStr">
        <is>
          <t>Technology</t>
        </is>
      </c>
      <c r="F369" t="inlineStr">
        <is>
          <t>Printer</t>
        </is>
      </c>
      <c r="G369" t="inlineStr">
        <is>
          <t>Standard Class</t>
        </is>
      </c>
      <c r="H369" t="n">
        <v>8</v>
      </c>
      <c r="I369" s="11" t="n">
        <v>24.7</v>
      </c>
      <c r="J369" s="12" t="n">
        <v>0.3</v>
      </c>
      <c r="K369" s="11" t="n">
        <v>138.32</v>
      </c>
      <c r="L369" s="11" t="n">
        <v>-0.98</v>
      </c>
      <c r="M369" s="12" t="n">
        <v>-0.0071</v>
      </c>
    </row>
    <row r="370">
      <c r="A370" t="inlineStr">
        <is>
          <t>ORD-10220</t>
        </is>
      </c>
      <c r="B370" s="10" t="inlineStr">
        <is>
          <t>2024-05-07</t>
        </is>
      </c>
      <c r="C370" t="inlineStr">
        <is>
          <t>Customer 21</t>
        </is>
      </c>
      <c r="D370" t="inlineStr">
        <is>
          <t>East</t>
        </is>
      </c>
      <c r="E370" t="inlineStr">
        <is>
          <t>Furniture</t>
        </is>
      </c>
      <c r="F370" t="inlineStr">
        <is>
          <t>Bookcase</t>
        </is>
      </c>
      <c r="G370" t="inlineStr">
        <is>
          <t>Second Class</t>
        </is>
      </c>
      <c r="H370" t="n">
        <v>10</v>
      </c>
      <c r="I370" s="11" t="n">
        <v>432.43</v>
      </c>
      <c r="J370" s="12" t="n">
        <v>0</v>
      </c>
      <c r="K370" s="11" t="n">
        <v>4324.3</v>
      </c>
      <c r="L370" s="11" t="n">
        <v>1939.02</v>
      </c>
      <c r="M370" s="12" t="n">
        <v>0.4484</v>
      </c>
    </row>
    <row r="371">
      <c r="A371" t="inlineStr">
        <is>
          <t>ORD-10612</t>
        </is>
      </c>
      <c r="B371" s="10" t="inlineStr">
        <is>
          <t>2024-05-07</t>
        </is>
      </c>
      <c r="C371" t="inlineStr">
        <is>
          <t>Customer 81</t>
        </is>
      </c>
      <c r="D371" t="inlineStr">
        <is>
          <t>West</t>
        </is>
      </c>
      <c r="E371" t="inlineStr">
        <is>
          <t>Technology</t>
        </is>
      </c>
      <c r="F371" t="inlineStr">
        <is>
          <t>Monitor</t>
        </is>
      </c>
      <c r="G371" t="inlineStr">
        <is>
          <t>First Class</t>
        </is>
      </c>
      <c r="H371" t="n">
        <v>11</v>
      </c>
      <c r="I371" s="11" t="n">
        <v>39.74</v>
      </c>
      <c r="J371" s="12" t="n">
        <v>0</v>
      </c>
      <c r="K371" s="11" t="n">
        <v>437.14</v>
      </c>
      <c r="L371" s="11" t="n">
        <v>119.24</v>
      </c>
      <c r="M371" s="12" t="n">
        <v>0.2728</v>
      </c>
    </row>
    <row r="372">
      <c r="A372" t="inlineStr">
        <is>
          <t>ORD-10834</t>
        </is>
      </c>
      <c r="B372" s="10" t="inlineStr">
        <is>
          <t>2024-05-08</t>
        </is>
      </c>
      <c r="C372" t="inlineStr">
        <is>
          <t>Customer 143</t>
        </is>
      </c>
      <c r="D372" t="inlineStr">
        <is>
          <t>South</t>
        </is>
      </c>
      <c r="E372" t="inlineStr">
        <is>
          <t>Furniture</t>
        </is>
      </c>
      <c r="F372" t="inlineStr">
        <is>
          <t>Table Lamp</t>
        </is>
      </c>
      <c r="G372" t="inlineStr">
        <is>
          <t>Second Class</t>
        </is>
      </c>
      <c r="H372" t="n">
        <v>7</v>
      </c>
      <c r="I372" s="11" t="n">
        <v>235.33</v>
      </c>
      <c r="J372" s="12" t="n">
        <v>0</v>
      </c>
      <c r="K372" s="11" t="n">
        <v>1647.31</v>
      </c>
      <c r="L372" s="11" t="n">
        <v>494.91</v>
      </c>
      <c r="M372" s="12" t="n">
        <v>0.3004</v>
      </c>
    </row>
    <row r="373">
      <c r="A373" t="inlineStr">
        <is>
          <t>ORD-10697</t>
        </is>
      </c>
      <c r="B373" s="10" t="inlineStr">
        <is>
          <t>2024-05-10</t>
        </is>
      </c>
      <c r="C373" t="inlineStr">
        <is>
          <t>Customer 13</t>
        </is>
      </c>
      <c r="D373" t="inlineStr">
        <is>
          <t>East</t>
        </is>
      </c>
      <c r="E373" t="inlineStr">
        <is>
          <t>Furniture</t>
        </is>
      </c>
      <c r="F373" t="inlineStr">
        <is>
          <t>Bookcase</t>
        </is>
      </c>
      <c r="G373" t="inlineStr">
        <is>
          <t>Second Class</t>
        </is>
      </c>
      <c r="H373" t="n">
        <v>7</v>
      </c>
      <c r="I373" s="11" t="n">
        <v>1020.11</v>
      </c>
      <c r="J373" s="12" t="n">
        <v>0</v>
      </c>
      <c r="K373" s="11" t="n">
        <v>7140.77</v>
      </c>
      <c r="L373" s="11" t="n">
        <v>3082.67</v>
      </c>
      <c r="M373" s="12" t="n">
        <v>0.4317</v>
      </c>
    </row>
    <row r="374">
      <c r="A374" t="inlineStr">
        <is>
          <t>ORD-11896</t>
        </is>
      </c>
      <c r="B374" s="10" t="inlineStr">
        <is>
          <t>2024-05-10</t>
        </is>
      </c>
      <c r="C374" t="inlineStr">
        <is>
          <t>Customer 76</t>
        </is>
      </c>
      <c r="D374" t="inlineStr">
        <is>
          <t>South</t>
        </is>
      </c>
      <c r="E374" t="inlineStr">
        <is>
          <t>Office Supplies</t>
        </is>
      </c>
      <c r="F374" t="inlineStr">
        <is>
          <t>Stapler</t>
        </is>
      </c>
      <c r="G374" t="inlineStr">
        <is>
          <t>Standard Class</t>
        </is>
      </c>
      <c r="H374" t="n">
        <v>7</v>
      </c>
      <c r="I374" s="11" t="n">
        <v>357.76</v>
      </c>
      <c r="J374" s="12" t="n">
        <v>0</v>
      </c>
      <c r="K374" s="11" t="n">
        <v>2504.32</v>
      </c>
      <c r="L374" s="11" t="n">
        <v>828.6900000000001</v>
      </c>
      <c r="M374" s="12" t="n">
        <v>0.3309</v>
      </c>
    </row>
    <row r="375">
      <c r="A375" t="inlineStr">
        <is>
          <t>ORD-10605</t>
        </is>
      </c>
      <c r="B375" s="10" t="inlineStr">
        <is>
          <t>2024-05-11</t>
        </is>
      </c>
      <c r="C375" t="inlineStr">
        <is>
          <t>Customer 172</t>
        </is>
      </c>
      <c r="D375" t="inlineStr">
        <is>
          <t>North</t>
        </is>
      </c>
      <c r="E375" t="inlineStr">
        <is>
          <t>Technology</t>
        </is>
      </c>
      <c r="F375" t="inlineStr">
        <is>
          <t>Printer</t>
        </is>
      </c>
      <c r="G375" t="inlineStr">
        <is>
          <t>Same Day</t>
        </is>
      </c>
      <c r="H375" t="n">
        <v>8</v>
      </c>
      <c r="I375" s="11" t="n">
        <v>578.64</v>
      </c>
      <c r="J375" s="12" t="n">
        <v>0.2</v>
      </c>
      <c r="K375" s="11" t="n">
        <v>3703.3</v>
      </c>
      <c r="L375" s="11" t="n">
        <v>561.02</v>
      </c>
      <c r="M375" s="12" t="n">
        <v>0.1515</v>
      </c>
    </row>
    <row r="376">
      <c r="A376" t="inlineStr">
        <is>
          <t>ORD-11553</t>
        </is>
      </c>
      <c r="B376" s="10" t="inlineStr">
        <is>
          <t>2024-05-11</t>
        </is>
      </c>
      <c r="C376" t="inlineStr">
        <is>
          <t>Customer 192</t>
        </is>
      </c>
      <c r="D376" t="inlineStr">
        <is>
          <t>East</t>
        </is>
      </c>
      <c r="E376" t="inlineStr">
        <is>
          <t>Furniture</t>
        </is>
      </c>
      <c r="F376" t="inlineStr">
        <is>
          <t>Bookcase</t>
        </is>
      </c>
      <c r="G376" t="inlineStr">
        <is>
          <t>Same Day</t>
        </is>
      </c>
      <c r="H376" t="n">
        <v>3</v>
      </c>
      <c r="I376" s="11" t="n">
        <v>1138.55</v>
      </c>
      <c r="J376" s="12" t="n">
        <v>0</v>
      </c>
      <c r="K376" s="11" t="n">
        <v>3415.65</v>
      </c>
      <c r="L376" s="11" t="n">
        <v>1343.43</v>
      </c>
      <c r="M376" s="12" t="n">
        <v>0.3933</v>
      </c>
    </row>
    <row r="377">
      <c r="A377" t="inlineStr">
        <is>
          <t>ORD-11698</t>
        </is>
      </c>
      <c r="B377" s="10" t="inlineStr">
        <is>
          <t>2024-05-12</t>
        </is>
      </c>
      <c r="C377" t="inlineStr">
        <is>
          <t>Customer 11</t>
        </is>
      </c>
      <c r="D377" t="inlineStr">
        <is>
          <t>East</t>
        </is>
      </c>
      <c r="E377" t="inlineStr">
        <is>
          <t>Furniture</t>
        </is>
      </c>
      <c r="F377" t="inlineStr">
        <is>
          <t>Desk</t>
        </is>
      </c>
      <c r="G377" t="inlineStr">
        <is>
          <t>Same Day</t>
        </is>
      </c>
      <c r="H377" t="n">
        <v>7</v>
      </c>
      <c r="I377" s="11" t="n">
        <v>1169.99</v>
      </c>
      <c r="J377" s="12" t="n">
        <v>0.1</v>
      </c>
      <c r="K377" s="11" t="n">
        <v>7370.94</v>
      </c>
      <c r="L377" s="11" t="n">
        <v>610.4400000000001</v>
      </c>
      <c r="M377" s="12" t="n">
        <v>0.0828</v>
      </c>
    </row>
    <row r="378">
      <c r="A378" t="inlineStr">
        <is>
          <t>ORD-11490</t>
        </is>
      </c>
      <c r="B378" s="10" t="inlineStr">
        <is>
          <t>2024-05-12</t>
        </is>
      </c>
      <c r="C378" t="inlineStr">
        <is>
          <t>Customer 144</t>
        </is>
      </c>
      <c r="D378" t="inlineStr">
        <is>
          <t>South</t>
        </is>
      </c>
      <c r="E378" t="inlineStr">
        <is>
          <t>Furniture</t>
        </is>
      </c>
      <c r="F378" t="inlineStr">
        <is>
          <t>Table Lamp</t>
        </is>
      </c>
      <c r="G378" t="inlineStr">
        <is>
          <t>First Class</t>
        </is>
      </c>
      <c r="H378" t="n">
        <v>5</v>
      </c>
      <c r="I378" s="11" t="n">
        <v>622.54</v>
      </c>
      <c r="J378" s="12" t="n">
        <v>0.1</v>
      </c>
      <c r="K378" s="11" t="n">
        <v>2801.43</v>
      </c>
      <c r="L378" s="11" t="n">
        <v>1001.37</v>
      </c>
      <c r="M378" s="12" t="n">
        <v>0.3574</v>
      </c>
    </row>
    <row r="379">
      <c r="A379" t="inlineStr">
        <is>
          <t>ORD-11843</t>
        </is>
      </c>
      <c r="B379" s="10" t="inlineStr">
        <is>
          <t>2024-05-13</t>
        </is>
      </c>
      <c r="C379" t="inlineStr">
        <is>
          <t>Customer 117</t>
        </is>
      </c>
      <c r="D379" t="inlineStr">
        <is>
          <t>North</t>
        </is>
      </c>
      <c r="E379" t="inlineStr">
        <is>
          <t>Furniture</t>
        </is>
      </c>
      <c r="F379" t="inlineStr">
        <is>
          <t>Chair</t>
        </is>
      </c>
      <c r="G379" t="inlineStr">
        <is>
          <t>First Class</t>
        </is>
      </c>
      <c r="H379" t="n">
        <v>7</v>
      </c>
      <c r="I379" s="11" t="n">
        <v>1193.95</v>
      </c>
      <c r="J379" s="12" t="n">
        <v>0</v>
      </c>
      <c r="K379" s="11" t="n">
        <v>8357.65</v>
      </c>
      <c r="L379" s="11" t="n">
        <v>1282.88</v>
      </c>
      <c r="M379" s="12" t="n">
        <v>0.1535</v>
      </c>
    </row>
    <row r="380">
      <c r="A380" t="inlineStr">
        <is>
          <t>ORD-10802</t>
        </is>
      </c>
      <c r="B380" s="10" t="inlineStr">
        <is>
          <t>2024-05-14</t>
        </is>
      </c>
      <c r="C380" t="inlineStr">
        <is>
          <t>Customer 7</t>
        </is>
      </c>
      <c r="D380" t="inlineStr">
        <is>
          <t>North</t>
        </is>
      </c>
      <c r="E380" t="inlineStr">
        <is>
          <t>Technology</t>
        </is>
      </c>
      <c r="F380" t="inlineStr">
        <is>
          <t>Monitor</t>
        </is>
      </c>
      <c r="G380" t="inlineStr">
        <is>
          <t>Second Class</t>
        </is>
      </c>
      <c r="H380" t="n">
        <v>11</v>
      </c>
      <c r="I380" s="11" t="n">
        <v>341.71</v>
      </c>
      <c r="J380" s="12" t="n">
        <v>0</v>
      </c>
      <c r="K380" s="11" t="n">
        <v>3758.81</v>
      </c>
      <c r="L380" s="11" t="n">
        <v>1549.31</v>
      </c>
      <c r="M380" s="12" t="n">
        <v>0.4122</v>
      </c>
    </row>
    <row r="381">
      <c r="A381" t="inlineStr">
        <is>
          <t>ORD-11702</t>
        </is>
      </c>
      <c r="B381" s="10" t="inlineStr">
        <is>
          <t>2024-05-14</t>
        </is>
      </c>
      <c r="C381" t="inlineStr">
        <is>
          <t>Customer 96</t>
        </is>
      </c>
      <c r="D381" t="inlineStr">
        <is>
          <t>South</t>
        </is>
      </c>
      <c r="E381" t="inlineStr">
        <is>
          <t>Furniture</t>
        </is>
      </c>
      <c r="F381" t="inlineStr">
        <is>
          <t>Table Lamp</t>
        </is>
      </c>
      <c r="G381" t="inlineStr">
        <is>
          <t>Second Class</t>
        </is>
      </c>
      <c r="H381" t="n">
        <v>6</v>
      </c>
      <c r="I381" s="11" t="n">
        <v>322.08</v>
      </c>
      <c r="J381" s="12" t="n">
        <v>0</v>
      </c>
      <c r="K381" s="11" t="n">
        <v>1932.48</v>
      </c>
      <c r="L381" s="11" t="n">
        <v>479.57</v>
      </c>
      <c r="M381" s="12" t="n">
        <v>0.2482</v>
      </c>
    </row>
    <row r="382">
      <c r="A382" t="inlineStr">
        <is>
          <t>ORD-11448</t>
        </is>
      </c>
      <c r="B382" s="10" t="inlineStr">
        <is>
          <t>2024-05-15</t>
        </is>
      </c>
      <c r="C382" t="inlineStr">
        <is>
          <t>Customer 179</t>
        </is>
      </c>
      <c r="D382" t="inlineStr">
        <is>
          <t>West</t>
        </is>
      </c>
      <c r="E382" t="inlineStr">
        <is>
          <t>Technology</t>
        </is>
      </c>
      <c r="F382" t="inlineStr">
        <is>
          <t>Printer</t>
        </is>
      </c>
      <c r="G382" t="inlineStr">
        <is>
          <t>Second Class</t>
        </is>
      </c>
      <c r="H382" t="n">
        <v>8</v>
      </c>
      <c r="I382" s="11" t="n">
        <v>869.0599999999999</v>
      </c>
      <c r="J382" s="12" t="n">
        <v>0</v>
      </c>
      <c r="K382" s="11" t="n">
        <v>6952.48</v>
      </c>
      <c r="L382" s="11" t="n">
        <v>2037.63</v>
      </c>
      <c r="M382" s="12" t="n">
        <v>0.2931</v>
      </c>
    </row>
    <row r="383">
      <c r="A383" t="inlineStr">
        <is>
          <t>ORD-10408</t>
        </is>
      </c>
      <c r="B383" s="10" t="inlineStr">
        <is>
          <t>2024-05-16</t>
        </is>
      </c>
      <c r="C383" t="inlineStr">
        <is>
          <t>Customer 10</t>
        </is>
      </c>
      <c r="D383" t="inlineStr">
        <is>
          <t>North</t>
        </is>
      </c>
      <c r="E383" t="inlineStr">
        <is>
          <t>Furniture</t>
        </is>
      </c>
      <c r="F383" t="inlineStr">
        <is>
          <t>Chair</t>
        </is>
      </c>
      <c r="G383" t="inlineStr">
        <is>
          <t>First Class</t>
        </is>
      </c>
      <c r="H383" t="n">
        <v>9</v>
      </c>
      <c r="I383" s="11" t="n">
        <v>598.95</v>
      </c>
      <c r="J383" s="12" t="n">
        <v>0</v>
      </c>
      <c r="K383" s="11" t="n">
        <v>5390.55</v>
      </c>
      <c r="L383" s="11" t="n">
        <v>2270.21</v>
      </c>
      <c r="M383" s="12" t="n">
        <v>0.4211</v>
      </c>
    </row>
    <row r="384">
      <c r="A384" t="inlineStr">
        <is>
          <t>ORD-11983</t>
        </is>
      </c>
      <c r="B384" s="10" t="inlineStr">
        <is>
          <t>2024-05-16</t>
        </is>
      </c>
      <c r="C384" t="inlineStr">
        <is>
          <t>Customer 177</t>
        </is>
      </c>
      <c r="D384" t="inlineStr">
        <is>
          <t>East</t>
        </is>
      </c>
      <c r="E384" t="inlineStr">
        <is>
          <t>Technology</t>
        </is>
      </c>
      <c r="F384" t="inlineStr">
        <is>
          <t>Wireless Mouse</t>
        </is>
      </c>
      <c r="G384" t="inlineStr">
        <is>
          <t>First Class</t>
        </is>
      </c>
      <c r="H384" t="n">
        <v>5</v>
      </c>
      <c r="I384" s="11" t="n">
        <v>832.8099999999999</v>
      </c>
      <c r="J384" s="12" t="n">
        <v>0.2</v>
      </c>
      <c r="K384" s="11" t="n">
        <v>3331.24</v>
      </c>
      <c r="L384" s="11" t="n">
        <v>1199.4</v>
      </c>
      <c r="M384" s="12" t="n">
        <v>0.36</v>
      </c>
    </row>
    <row r="385">
      <c r="A385" t="inlineStr">
        <is>
          <t>ORD-11431</t>
        </is>
      </c>
      <c r="B385" s="10" t="inlineStr">
        <is>
          <t>2024-05-16</t>
        </is>
      </c>
      <c r="C385" t="inlineStr">
        <is>
          <t>Customer 71</t>
        </is>
      </c>
      <c r="D385" t="inlineStr">
        <is>
          <t>West</t>
        </is>
      </c>
      <c r="E385" t="inlineStr">
        <is>
          <t>Office Supplies</t>
        </is>
      </c>
      <c r="F385" t="inlineStr">
        <is>
          <t>Binder</t>
        </is>
      </c>
      <c r="G385" t="inlineStr">
        <is>
          <t>First Class</t>
        </is>
      </c>
      <c r="H385" t="n">
        <v>7</v>
      </c>
      <c r="I385" s="11" t="n">
        <v>1036.69</v>
      </c>
      <c r="J385" s="12" t="n">
        <v>0.1</v>
      </c>
      <c r="K385" s="11" t="n">
        <v>6531.15</v>
      </c>
      <c r="L385" s="11" t="n">
        <v>1206.21</v>
      </c>
      <c r="M385" s="12" t="n">
        <v>0.1847</v>
      </c>
    </row>
    <row r="386">
      <c r="A386" t="inlineStr">
        <is>
          <t>ORD-10136</t>
        </is>
      </c>
      <c r="B386" s="10" t="inlineStr">
        <is>
          <t>2024-05-16</t>
        </is>
      </c>
      <c r="C386" t="inlineStr">
        <is>
          <t>Customer 39</t>
        </is>
      </c>
      <c r="D386" t="inlineStr">
        <is>
          <t>South</t>
        </is>
      </c>
      <c r="E386" t="inlineStr">
        <is>
          <t>Technology</t>
        </is>
      </c>
      <c r="F386" t="inlineStr">
        <is>
          <t>Printer</t>
        </is>
      </c>
      <c r="G386" t="inlineStr">
        <is>
          <t>Second Class</t>
        </is>
      </c>
      <c r="H386" t="n">
        <v>8</v>
      </c>
      <c r="I386" s="11" t="n">
        <v>1186.38</v>
      </c>
      <c r="J386" s="12" t="n">
        <v>0.15</v>
      </c>
      <c r="K386" s="11" t="n">
        <v>8067.38</v>
      </c>
      <c r="L386" s="11" t="n">
        <v>858.3200000000001</v>
      </c>
      <c r="M386" s="12" t="n">
        <v>0.1064</v>
      </c>
    </row>
    <row r="387">
      <c r="A387" t="inlineStr">
        <is>
          <t>ORD-11566</t>
        </is>
      </c>
      <c r="B387" s="10" t="inlineStr">
        <is>
          <t>2024-05-17</t>
        </is>
      </c>
      <c r="C387" t="inlineStr">
        <is>
          <t>Customer 125</t>
        </is>
      </c>
      <c r="D387" t="inlineStr">
        <is>
          <t>West</t>
        </is>
      </c>
      <c r="E387" t="inlineStr">
        <is>
          <t>Furniture</t>
        </is>
      </c>
      <c r="F387" t="inlineStr">
        <is>
          <t>Desk</t>
        </is>
      </c>
      <c r="G387" t="inlineStr">
        <is>
          <t>Standard Class</t>
        </is>
      </c>
      <c r="H387" t="n">
        <v>5</v>
      </c>
      <c r="I387" s="11" t="n">
        <v>165.54</v>
      </c>
      <c r="J387" s="12" t="n">
        <v>0.1</v>
      </c>
      <c r="K387" s="11" t="n">
        <v>744.9299999999999</v>
      </c>
      <c r="L387" s="11" t="n">
        <v>195.17</v>
      </c>
      <c r="M387" s="12" t="n">
        <v>0.262</v>
      </c>
    </row>
    <row r="388">
      <c r="A388" t="inlineStr">
        <is>
          <t>ORD-10439</t>
        </is>
      </c>
      <c r="B388" s="10" t="inlineStr">
        <is>
          <t>2024-05-17</t>
        </is>
      </c>
      <c r="C388" t="inlineStr">
        <is>
          <t>Customer 115</t>
        </is>
      </c>
      <c r="D388" t="inlineStr">
        <is>
          <t>East</t>
        </is>
      </c>
      <c r="E388" t="inlineStr">
        <is>
          <t>Office Supplies</t>
        </is>
      </c>
      <c r="F388" t="inlineStr">
        <is>
          <t>Paper</t>
        </is>
      </c>
      <c r="G388" t="inlineStr">
        <is>
          <t>Second Class</t>
        </is>
      </c>
      <c r="H388" t="n">
        <v>11</v>
      </c>
      <c r="I388" s="11" t="n">
        <v>1050.98</v>
      </c>
      <c r="J388" s="12" t="n">
        <v>0</v>
      </c>
      <c r="K388" s="11" t="n">
        <v>11560.78</v>
      </c>
      <c r="L388" s="11" t="n">
        <v>2637.7</v>
      </c>
      <c r="M388" s="12" t="n">
        <v>0.2282</v>
      </c>
    </row>
    <row r="389">
      <c r="A389" t="inlineStr">
        <is>
          <t>ORD-10930</t>
        </is>
      </c>
      <c r="B389" s="10" t="inlineStr">
        <is>
          <t>2024-05-18</t>
        </is>
      </c>
      <c r="C389" t="inlineStr">
        <is>
          <t>Customer 197</t>
        </is>
      </c>
      <c r="D389" t="inlineStr">
        <is>
          <t>South</t>
        </is>
      </c>
      <c r="E389" t="inlineStr">
        <is>
          <t>Furniture</t>
        </is>
      </c>
      <c r="F389" t="inlineStr">
        <is>
          <t>Desk</t>
        </is>
      </c>
      <c r="G389" t="inlineStr">
        <is>
          <t>First Class</t>
        </is>
      </c>
      <c r="H389" t="n">
        <v>8</v>
      </c>
      <c r="I389" s="11" t="n">
        <v>192.27</v>
      </c>
      <c r="J389" s="12" t="n">
        <v>0</v>
      </c>
      <c r="K389" s="11" t="n">
        <v>1538.16</v>
      </c>
      <c r="L389" s="11" t="n">
        <v>424.44</v>
      </c>
      <c r="M389" s="12" t="n">
        <v>0.2759</v>
      </c>
    </row>
    <row r="390">
      <c r="A390" t="inlineStr">
        <is>
          <t>ORD-11973</t>
        </is>
      </c>
      <c r="B390" s="10" t="inlineStr">
        <is>
          <t>2024-05-18</t>
        </is>
      </c>
      <c r="C390" t="inlineStr">
        <is>
          <t>Customer 79</t>
        </is>
      </c>
      <c r="D390" t="inlineStr">
        <is>
          <t>East</t>
        </is>
      </c>
      <c r="E390" t="inlineStr">
        <is>
          <t>Furniture</t>
        </is>
      </c>
      <c r="F390" t="inlineStr">
        <is>
          <t>Bookcase</t>
        </is>
      </c>
      <c r="G390" t="inlineStr">
        <is>
          <t>First Class</t>
        </is>
      </c>
      <c r="H390" t="n">
        <v>7</v>
      </c>
      <c r="I390" s="11" t="n">
        <v>670.12</v>
      </c>
      <c r="J390" s="12" t="n">
        <v>0.2</v>
      </c>
      <c r="K390" s="11" t="n">
        <v>3752.67</v>
      </c>
      <c r="L390" s="11" t="n">
        <v>1112.88</v>
      </c>
      <c r="M390" s="12" t="n">
        <v>0.2966</v>
      </c>
    </row>
    <row r="391">
      <c r="A391" t="inlineStr">
        <is>
          <t>ORD-10219</t>
        </is>
      </c>
      <c r="B391" s="10" t="inlineStr">
        <is>
          <t>2024-05-18</t>
        </is>
      </c>
      <c r="C391" t="inlineStr">
        <is>
          <t>Customer 164</t>
        </is>
      </c>
      <c r="D391" t="inlineStr">
        <is>
          <t>South</t>
        </is>
      </c>
      <c r="E391" t="inlineStr">
        <is>
          <t>Office Supplies</t>
        </is>
      </c>
      <c r="F391" t="inlineStr">
        <is>
          <t>Pens (Box)</t>
        </is>
      </c>
      <c r="G391" t="inlineStr">
        <is>
          <t>First Class</t>
        </is>
      </c>
      <c r="H391" t="n">
        <v>2</v>
      </c>
      <c r="I391" s="11" t="n">
        <v>241.21</v>
      </c>
      <c r="J391" s="12" t="n">
        <v>0</v>
      </c>
      <c r="K391" s="11" t="n">
        <v>482.42</v>
      </c>
      <c r="L391" s="11" t="n">
        <v>151.82</v>
      </c>
      <c r="M391" s="12" t="n">
        <v>0.3147</v>
      </c>
    </row>
    <row r="392">
      <c r="A392" t="inlineStr">
        <is>
          <t>ORD-11847</t>
        </is>
      </c>
      <c r="B392" s="10" t="inlineStr">
        <is>
          <t>2024-05-19</t>
        </is>
      </c>
      <c r="C392" t="inlineStr">
        <is>
          <t>Customer 29</t>
        </is>
      </c>
      <c r="D392" t="inlineStr">
        <is>
          <t>East</t>
        </is>
      </c>
      <c r="E392" t="inlineStr">
        <is>
          <t>Technology</t>
        </is>
      </c>
      <c r="F392" t="inlineStr">
        <is>
          <t>Printer</t>
        </is>
      </c>
      <c r="G392" t="inlineStr">
        <is>
          <t>Same Day</t>
        </is>
      </c>
      <c r="H392" t="n">
        <v>2</v>
      </c>
      <c r="I392" s="11" t="n">
        <v>511.53</v>
      </c>
      <c r="J392" s="12" t="n">
        <v>0</v>
      </c>
      <c r="K392" s="11" t="n">
        <v>1023.06</v>
      </c>
      <c r="L392" s="11" t="n">
        <v>296.47</v>
      </c>
      <c r="M392" s="12" t="n">
        <v>0.2898</v>
      </c>
    </row>
    <row r="393">
      <c r="A393" t="inlineStr">
        <is>
          <t>ORD-10466</t>
        </is>
      </c>
      <c r="B393" s="10" t="inlineStr">
        <is>
          <t>2024-05-19</t>
        </is>
      </c>
      <c r="C393" t="inlineStr">
        <is>
          <t>Customer 164</t>
        </is>
      </c>
      <c r="D393" t="inlineStr">
        <is>
          <t>South</t>
        </is>
      </c>
      <c r="E393" t="inlineStr">
        <is>
          <t>Office Supplies</t>
        </is>
      </c>
      <c r="F393" t="inlineStr">
        <is>
          <t>Binder</t>
        </is>
      </c>
      <c r="G393" t="inlineStr">
        <is>
          <t>First Class</t>
        </is>
      </c>
      <c r="H393" t="n">
        <v>1</v>
      </c>
      <c r="I393" s="11" t="n">
        <v>235.64</v>
      </c>
      <c r="J393" s="12" t="n">
        <v>0</v>
      </c>
      <c r="K393" s="11" t="n">
        <v>235.64</v>
      </c>
      <c r="L393" s="11" t="n">
        <v>107.19</v>
      </c>
      <c r="M393" s="12" t="n">
        <v>0.4549</v>
      </c>
    </row>
    <row r="394">
      <c r="A394" t="inlineStr">
        <is>
          <t>ORD-10215</t>
        </is>
      </c>
      <c r="B394" s="10" t="inlineStr">
        <is>
          <t>2024-05-20</t>
        </is>
      </c>
      <c r="C394" t="inlineStr">
        <is>
          <t>Customer 33</t>
        </is>
      </c>
      <c r="D394" t="inlineStr">
        <is>
          <t>North</t>
        </is>
      </c>
      <c r="E394" t="inlineStr">
        <is>
          <t>Office Supplies</t>
        </is>
      </c>
      <c r="F394" t="inlineStr">
        <is>
          <t>Stapler</t>
        </is>
      </c>
      <c r="G394" t="inlineStr">
        <is>
          <t>Same Day</t>
        </is>
      </c>
      <c r="H394" t="n">
        <v>8</v>
      </c>
      <c r="I394" s="11" t="n">
        <v>939.2</v>
      </c>
      <c r="J394" s="12" t="n">
        <v>0</v>
      </c>
      <c r="K394" s="11" t="n">
        <v>7513.6</v>
      </c>
      <c r="L394" s="11" t="n">
        <v>2079.18</v>
      </c>
      <c r="M394" s="12" t="n">
        <v>0.2767</v>
      </c>
    </row>
    <row r="395">
      <c r="A395" t="inlineStr">
        <is>
          <t>ORD-10025</t>
        </is>
      </c>
      <c r="B395" s="10" t="inlineStr">
        <is>
          <t>2024-05-20</t>
        </is>
      </c>
      <c r="C395" t="inlineStr">
        <is>
          <t>Customer 45</t>
        </is>
      </c>
      <c r="D395" t="inlineStr">
        <is>
          <t>North</t>
        </is>
      </c>
      <c r="E395" t="inlineStr">
        <is>
          <t>Office Supplies</t>
        </is>
      </c>
      <c r="F395" t="inlineStr">
        <is>
          <t>Pens (Box)</t>
        </is>
      </c>
      <c r="G395" t="inlineStr">
        <is>
          <t>Second Class</t>
        </is>
      </c>
      <c r="H395" t="n">
        <v>2</v>
      </c>
      <c r="I395" s="11" t="n">
        <v>84.54000000000001</v>
      </c>
      <c r="J395" s="12" t="n">
        <v>0</v>
      </c>
      <c r="K395" s="11" t="n">
        <v>169.08</v>
      </c>
      <c r="L395" s="11" t="n">
        <v>75.89</v>
      </c>
      <c r="M395" s="12" t="n">
        <v>0.4488</v>
      </c>
    </row>
    <row r="396">
      <c r="A396" t="inlineStr">
        <is>
          <t>ORD-10156</t>
        </is>
      </c>
      <c r="B396" s="10" t="inlineStr">
        <is>
          <t>2024-05-20</t>
        </is>
      </c>
      <c r="C396" t="inlineStr">
        <is>
          <t>Customer 19</t>
        </is>
      </c>
      <c r="D396" t="inlineStr">
        <is>
          <t>West</t>
        </is>
      </c>
      <c r="E396" t="inlineStr">
        <is>
          <t>Technology</t>
        </is>
      </c>
      <c r="F396" t="inlineStr">
        <is>
          <t>Wireless Mouse</t>
        </is>
      </c>
      <c r="G396" t="inlineStr">
        <is>
          <t>Same Day</t>
        </is>
      </c>
      <c r="H396" t="n">
        <v>4</v>
      </c>
      <c r="I396" s="11" t="n">
        <v>188.99</v>
      </c>
      <c r="J396" s="12" t="n">
        <v>0</v>
      </c>
      <c r="K396" s="11" t="n">
        <v>755.96</v>
      </c>
      <c r="L396" s="11" t="n">
        <v>214.02</v>
      </c>
      <c r="M396" s="12" t="n">
        <v>0.2831</v>
      </c>
    </row>
    <row r="397">
      <c r="A397" t="inlineStr">
        <is>
          <t>ORD-11393</t>
        </is>
      </c>
      <c r="B397" s="10" t="inlineStr">
        <is>
          <t>2024-05-20</t>
        </is>
      </c>
      <c r="C397" t="inlineStr">
        <is>
          <t>Customer 63</t>
        </is>
      </c>
      <c r="D397" t="inlineStr">
        <is>
          <t>South</t>
        </is>
      </c>
      <c r="E397" t="inlineStr">
        <is>
          <t>Technology</t>
        </is>
      </c>
      <c r="F397" t="inlineStr">
        <is>
          <t>Laptop</t>
        </is>
      </c>
      <c r="G397" t="inlineStr">
        <is>
          <t>First Class</t>
        </is>
      </c>
      <c r="H397" t="n">
        <v>2</v>
      </c>
      <c r="I397" s="11" t="n">
        <v>417.97</v>
      </c>
      <c r="J397" s="12" t="n">
        <v>0</v>
      </c>
      <c r="K397" s="11" t="n">
        <v>835.9400000000001</v>
      </c>
      <c r="L397" s="11" t="n">
        <v>265.21</v>
      </c>
      <c r="M397" s="12" t="n">
        <v>0.3173</v>
      </c>
    </row>
    <row r="398">
      <c r="A398" t="inlineStr">
        <is>
          <t>ORD-10312</t>
        </is>
      </c>
      <c r="B398" s="10" t="inlineStr">
        <is>
          <t>2024-05-20</t>
        </is>
      </c>
      <c r="C398" t="inlineStr">
        <is>
          <t>Customer 125</t>
        </is>
      </c>
      <c r="D398" t="inlineStr">
        <is>
          <t>West</t>
        </is>
      </c>
      <c r="E398" t="inlineStr">
        <is>
          <t>Technology</t>
        </is>
      </c>
      <c r="F398" t="inlineStr">
        <is>
          <t>Monitor</t>
        </is>
      </c>
      <c r="G398" t="inlineStr">
        <is>
          <t>Second Class</t>
        </is>
      </c>
      <c r="H398" t="n">
        <v>4</v>
      </c>
      <c r="I398" s="11" t="n">
        <v>457.45</v>
      </c>
      <c r="J398" s="12" t="n">
        <v>0</v>
      </c>
      <c r="K398" s="11" t="n">
        <v>1829.8</v>
      </c>
      <c r="L398" s="11" t="n">
        <v>697.79</v>
      </c>
      <c r="M398" s="12" t="n">
        <v>0.3813</v>
      </c>
    </row>
    <row r="399">
      <c r="A399" t="inlineStr">
        <is>
          <t>ORD-10495</t>
        </is>
      </c>
      <c r="B399" s="10" t="inlineStr">
        <is>
          <t>2024-05-20</t>
        </is>
      </c>
      <c r="C399" t="inlineStr">
        <is>
          <t>Customer 185</t>
        </is>
      </c>
      <c r="D399" t="inlineStr">
        <is>
          <t>South</t>
        </is>
      </c>
      <c r="E399" t="inlineStr">
        <is>
          <t>Office Supplies</t>
        </is>
      </c>
      <c r="F399" t="inlineStr">
        <is>
          <t>Stapler</t>
        </is>
      </c>
      <c r="G399" t="inlineStr">
        <is>
          <t>Same Day</t>
        </is>
      </c>
      <c r="H399" t="n">
        <v>7</v>
      </c>
      <c r="I399" s="11" t="n">
        <v>741.88</v>
      </c>
      <c r="J399" s="12" t="n">
        <v>0</v>
      </c>
      <c r="K399" s="11" t="n">
        <v>5193.16</v>
      </c>
      <c r="L399" s="11" t="n">
        <v>2480.3</v>
      </c>
      <c r="M399" s="12" t="n">
        <v>0.4776</v>
      </c>
    </row>
    <row r="400">
      <c r="A400" t="inlineStr">
        <is>
          <t>ORD-10842</t>
        </is>
      </c>
      <c r="B400" s="10" t="inlineStr">
        <is>
          <t>2024-05-21</t>
        </is>
      </c>
      <c r="C400" t="inlineStr">
        <is>
          <t>Customer 153</t>
        </is>
      </c>
      <c r="D400" t="inlineStr">
        <is>
          <t>West</t>
        </is>
      </c>
      <c r="E400" t="inlineStr">
        <is>
          <t>Office Supplies</t>
        </is>
      </c>
      <c r="F400" t="inlineStr">
        <is>
          <t>Paper</t>
        </is>
      </c>
      <c r="G400" t="inlineStr">
        <is>
          <t>First Class</t>
        </is>
      </c>
      <c r="H400" t="n">
        <v>9</v>
      </c>
      <c r="I400" s="11" t="n">
        <v>1055.69</v>
      </c>
      <c r="J400" s="12" t="n">
        <v>0</v>
      </c>
      <c r="K400" s="11" t="n">
        <v>9501.209999999999</v>
      </c>
      <c r="L400" s="11" t="n">
        <v>4688.25</v>
      </c>
      <c r="M400" s="12" t="n">
        <v>0.4934</v>
      </c>
    </row>
    <row r="401">
      <c r="A401" t="inlineStr">
        <is>
          <t>ORD-10604</t>
        </is>
      </c>
      <c r="B401" s="10" t="inlineStr">
        <is>
          <t>2024-05-21</t>
        </is>
      </c>
      <c r="C401" t="inlineStr">
        <is>
          <t>Customer 152</t>
        </is>
      </c>
      <c r="D401" t="inlineStr">
        <is>
          <t>South</t>
        </is>
      </c>
      <c r="E401" t="inlineStr">
        <is>
          <t>Office Supplies</t>
        </is>
      </c>
      <c r="F401" t="inlineStr">
        <is>
          <t>Paper</t>
        </is>
      </c>
      <c r="G401" t="inlineStr">
        <is>
          <t>Same Day</t>
        </is>
      </c>
      <c r="H401" t="n">
        <v>11</v>
      </c>
      <c r="I401" s="11" t="n">
        <v>381.28</v>
      </c>
      <c r="J401" s="12" t="n">
        <v>0.2</v>
      </c>
      <c r="K401" s="11" t="n">
        <v>3355.26</v>
      </c>
      <c r="L401" s="11" t="n">
        <v>89.06</v>
      </c>
      <c r="M401" s="12" t="n">
        <v>0.0265</v>
      </c>
    </row>
    <row r="402">
      <c r="A402" t="inlineStr">
        <is>
          <t>ORD-10230</t>
        </is>
      </c>
      <c r="B402" s="10" t="inlineStr">
        <is>
          <t>2024-05-22</t>
        </is>
      </c>
      <c r="C402" t="inlineStr">
        <is>
          <t>Customer 161</t>
        </is>
      </c>
      <c r="D402" t="inlineStr">
        <is>
          <t>West</t>
        </is>
      </c>
      <c r="E402" t="inlineStr">
        <is>
          <t>Furniture</t>
        </is>
      </c>
      <c r="F402" t="inlineStr">
        <is>
          <t>Chair</t>
        </is>
      </c>
      <c r="G402" t="inlineStr">
        <is>
          <t>Same Day</t>
        </is>
      </c>
      <c r="H402" t="n">
        <v>3</v>
      </c>
      <c r="I402" s="11" t="n">
        <v>74.23999999999999</v>
      </c>
      <c r="J402" s="12" t="n">
        <v>0.2</v>
      </c>
      <c r="K402" s="11" t="n">
        <v>178.18</v>
      </c>
      <c r="L402" s="11" t="n">
        <v>35.41</v>
      </c>
      <c r="M402" s="12" t="n">
        <v>0.1987</v>
      </c>
    </row>
    <row r="403">
      <c r="A403" t="inlineStr">
        <is>
          <t>ORD-11096</t>
        </is>
      </c>
      <c r="B403" s="10" t="inlineStr">
        <is>
          <t>2024-05-22</t>
        </is>
      </c>
      <c r="C403" t="inlineStr">
        <is>
          <t>Customer 130</t>
        </is>
      </c>
      <c r="D403" t="inlineStr">
        <is>
          <t>East</t>
        </is>
      </c>
      <c r="E403" t="inlineStr">
        <is>
          <t>Office Supplies</t>
        </is>
      </c>
      <c r="F403" t="inlineStr">
        <is>
          <t>Binder</t>
        </is>
      </c>
      <c r="G403" t="inlineStr">
        <is>
          <t>Standard Class</t>
        </is>
      </c>
      <c r="H403" t="n">
        <v>3</v>
      </c>
      <c r="I403" s="11" t="n">
        <v>260.55</v>
      </c>
      <c r="J403" s="12" t="n">
        <v>0</v>
      </c>
      <c r="K403" s="11" t="n">
        <v>781.65</v>
      </c>
      <c r="L403" s="11" t="n">
        <v>247.53</v>
      </c>
      <c r="M403" s="12" t="n">
        <v>0.3167</v>
      </c>
    </row>
    <row r="404">
      <c r="A404" t="inlineStr">
        <is>
          <t>ORD-11965</t>
        </is>
      </c>
      <c r="B404" s="10" t="inlineStr">
        <is>
          <t>2024-05-22</t>
        </is>
      </c>
      <c r="C404" t="inlineStr">
        <is>
          <t>Customer 30</t>
        </is>
      </c>
      <c r="D404" t="inlineStr">
        <is>
          <t>South</t>
        </is>
      </c>
      <c r="E404" t="inlineStr">
        <is>
          <t>Furniture</t>
        </is>
      </c>
      <c r="F404" t="inlineStr">
        <is>
          <t>Bookcase</t>
        </is>
      </c>
      <c r="G404" t="inlineStr">
        <is>
          <t>First Class</t>
        </is>
      </c>
      <c r="H404" t="n">
        <v>8</v>
      </c>
      <c r="I404" s="11" t="n">
        <v>187.09</v>
      </c>
      <c r="J404" s="12" t="n">
        <v>0</v>
      </c>
      <c r="K404" s="11" t="n">
        <v>1496.72</v>
      </c>
      <c r="L404" s="11" t="n">
        <v>276.1</v>
      </c>
      <c r="M404" s="12" t="n">
        <v>0.1845</v>
      </c>
    </row>
    <row r="405">
      <c r="A405" t="inlineStr">
        <is>
          <t>ORD-10942</t>
        </is>
      </c>
      <c r="B405" s="10" t="inlineStr">
        <is>
          <t>2024-05-22</t>
        </is>
      </c>
      <c r="C405" t="inlineStr">
        <is>
          <t>Customer 69</t>
        </is>
      </c>
      <c r="D405" t="inlineStr">
        <is>
          <t>North</t>
        </is>
      </c>
      <c r="E405" t="inlineStr">
        <is>
          <t>Technology</t>
        </is>
      </c>
      <c r="F405" t="inlineStr">
        <is>
          <t>Printer</t>
        </is>
      </c>
      <c r="G405" t="inlineStr">
        <is>
          <t>First Class</t>
        </is>
      </c>
      <c r="H405" t="n">
        <v>5</v>
      </c>
      <c r="I405" s="11" t="n">
        <v>526.45</v>
      </c>
      <c r="J405" s="12" t="n">
        <v>0</v>
      </c>
      <c r="K405" s="11" t="n">
        <v>2632.25</v>
      </c>
      <c r="L405" s="11" t="n">
        <v>1117.15</v>
      </c>
      <c r="M405" s="12" t="n">
        <v>0.4244</v>
      </c>
    </row>
    <row r="406">
      <c r="A406" t="inlineStr">
        <is>
          <t>ORD-10938</t>
        </is>
      </c>
      <c r="B406" s="10" t="inlineStr">
        <is>
          <t>2024-05-22</t>
        </is>
      </c>
      <c r="C406" t="inlineStr">
        <is>
          <t>Customer 116</t>
        </is>
      </c>
      <c r="D406" t="inlineStr">
        <is>
          <t>East</t>
        </is>
      </c>
      <c r="E406" t="inlineStr">
        <is>
          <t>Furniture</t>
        </is>
      </c>
      <c r="F406" t="inlineStr">
        <is>
          <t>Chair</t>
        </is>
      </c>
      <c r="G406" t="inlineStr">
        <is>
          <t>Same Day</t>
        </is>
      </c>
      <c r="H406" t="n">
        <v>10</v>
      </c>
      <c r="I406" s="11" t="n">
        <v>585.73</v>
      </c>
      <c r="J406" s="12" t="n">
        <v>0</v>
      </c>
      <c r="K406" s="11" t="n">
        <v>5857.3</v>
      </c>
      <c r="L406" s="11" t="n">
        <v>2076.66</v>
      </c>
      <c r="M406" s="12" t="n">
        <v>0.3545</v>
      </c>
    </row>
    <row r="407">
      <c r="A407" t="inlineStr">
        <is>
          <t>ORD-11098</t>
        </is>
      </c>
      <c r="B407" s="10" t="inlineStr">
        <is>
          <t>2024-05-23</t>
        </is>
      </c>
      <c r="C407" t="inlineStr">
        <is>
          <t>Customer 186</t>
        </is>
      </c>
      <c r="D407" t="inlineStr">
        <is>
          <t>South</t>
        </is>
      </c>
      <c r="E407" t="inlineStr">
        <is>
          <t>Furniture</t>
        </is>
      </c>
      <c r="F407" t="inlineStr">
        <is>
          <t>Chair</t>
        </is>
      </c>
      <c r="G407" t="inlineStr">
        <is>
          <t>Second Class</t>
        </is>
      </c>
      <c r="H407" t="n">
        <v>9</v>
      </c>
      <c r="I407" s="11" t="n">
        <v>451.75</v>
      </c>
      <c r="J407" s="12" t="n">
        <v>0</v>
      </c>
      <c r="K407" s="11" t="n">
        <v>4065.75</v>
      </c>
      <c r="L407" s="11" t="n">
        <v>920.16</v>
      </c>
      <c r="M407" s="12" t="n">
        <v>0.2263</v>
      </c>
    </row>
    <row r="408">
      <c r="A408" t="inlineStr">
        <is>
          <t>ORD-11194</t>
        </is>
      </c>
      <c r="B408" s="10" t="inlineStr">
        <is>
          <t>2024-05-23</t>
        </is>
      </c>
      <c r="C408" t="inlineStr">
        <is>
          <t>Customer 87</t>
        </is>
      </c>
      <c r="D408" t="inlineStr">
        <is>
          <t>North</t>
        </is>
      </c>
      <c r="E408" t="inlineStr">
        <is>
          <t>Office Supplies</t>
        </is>
      </c>
      <c r="F408" t="inlineStr">
        <is>
          <t>Pens (Box)</t>
        </is>
      </c>
      <c r="G408" t="inlineStr">
        <is>
          <t>First Class</t>
        </is>
      </c>
      <c r="H408" t="n">
        <v>4</v>
      </c>
      <c r="I408" s="11" t="n">
        <v>294.46</v>
      </c>
      <c r="J408" s="12" t="n">
        <v>0.15</v>
      </c>
      <c r="K408" s="11" t="n">
        <v>1001.16</v>
      </c>
      <c r="L408" s="11" t="n">
        <v>106.69</v>
      </c>
      <c r="M408" s="12" t="n">
        <v>0.1066</v>
      </c>
    </row>
    <row r="409">
      <c r="A409" t="inlineStr">
        <is>
          <t>ORD-11298</t>
        </is>
      </c>
      <c r="B409" s="10" t="inlineStr">
        <is>
          <t>2024-05-23</t>
        </is>
      </c>
      <c r="C409" t="inlineStr">
        <is>
          <t>Customer 22</t>
        </is>
      </c>
      <c r="D409" t="inlineStr">
        <is>
          <t>South</t>
        </is>
      </c>
      <c r="E409" t="inlineStr">
        <is>
          <t>Technology</t>
        </is>
      </c>
      <c r="F409" t="inlineStr">
        <is>
          <t>Laptop</t>
        </is>
      </c>
      <c r="G409" t="inlineStr">
        <is>
          <t>Standard Class</t>
        </is>
      </c>
      <c r="H409" t="n">
        <v>11</v>
      </c>
      <c r="I409" s="11" t="n">
        <v>1119.07</v>
      </c>
      <c r="J409" s="12" t="n">
        <v>0.1</v>
      </c>
      <c r="K409" s="11" t="n">
        <v>11078.79</v>
      </c>
      <c r="L409" s="11" t="n">
        <v>3930.07</v>
      </c>
      <c r="M409" s="12" t="n">
        <v>0.3547</v>
      </c>
    </row>
    <row r="410">
      <c r="A410" t="inlineStr">
        <is>
          <t>ORD-10933</t>
        </is>
      </c>
      <c r="B410" s="10" t="inlineStr">
        <is>
          <t>2024-05-23</t>
        </is>
      </c>
      <c r="C410" t="inlineStr">
        <is>
          <t>Customer 74</t>
        </is>
      </c>
      <c r="D410" t="inlineStr">
        <is>
          <t>North</t>
        </is>
      </c>
      <c r="E410" t="inlineStr">
        <is>
          <t>Furniture</t>
        </is>
      </c>
      <c r="F410" t="inlineStr">
        <is>
          <t>Desk</t>
        </is>
      </c>
      <c r="G410" t="inlineStr">
        <is>
          <t>Second Class</t>
        </is>
      </c>
      <c r="H410" t="n">
        <v>11</v>
      </c>
      <c r="I410" s="11" t="n">
        <v>828.76</v>
      </c>
      <c r="J410" s="12" t="n">
        <v>0</v>
      </c>
      <c r="K410" s="11" t="n">
        <v>9116.360000000001</v>
      </c>
      <c r="L410" s="11" t="n">
        <v>3469.82</v>
      </c>
      <c r="M410" s="12" t="n">
        <v>0.3806</v>
      </c>
    </row>
    <row r="411">
      <c r="A411" t="inlineStr">
        <is>
          <t>ORD-11088</t>
        </is>
      </c>
      <c r="B411" s="10" t="inlineStr">
        <is>
          <t>2024-05-23</t>
        </is>
      </c>
      <c r="C411" t="inlineStr">
        <is>
          <t>Customer 77</t>
        </is>
      </c>
      <c r="D411" t="inlineStr">
        <is>
          <t>South</t>
        </is>
      </c>
      <c r="E411" t="inlineStr">
        <is>
          <t>Technology</t>
        </is>
      </c>
      <c r="F411" t="inlineStr">
        <is>
          <t>Printer</t>
        </is>
      </c>
      <c r="G411" t="inlineStr">
        <is>
          <t>First Class</t>
        </is>
      </c>
      <c r="H411" t="n">
        <v>8</v>
      </c>
      <c r="I411" s="11" t="n">
        <v>643.79</v>
      </c>
      <c r="J411" s="12" t="n">
        <v>0</v>
      </c>
      <c r="K411" s="11" t="n">
        <v>5150.32</v>
      </c>
      <c r="L411" s="11" t="n">
        <v>1667.09</v>
      </c>
      <c r="M411" s="12" t="n">
        <v>0.3237</v>
      </c>
    </row>
    <row r="412">
      <c r="A412" t="inlineStr">
        <is>
          <t>ORD-10924</t>
        </is>
      </c>
      <c r="B412" s="10" t="inlineStr">
        <is>
          <t>2024-05-24</t>
        </is>
      </c>
      <c r="C412" t="inlineStr">
        <is>
          <t>Customer 171</t>
        </is>
      </c>
      <c r="D412" t="inlineStr">
        <is>
          <t>North</t>
        </is>
      </c>
      <c r="E412" t="inlineStr">
        <is>
          <t>Technology</t>
        </is>
      </c>
      <c r="F412" t="inlineStr">
        <is>
          <t>Printer</t>
        </is>
      </c>
      <c r="G412" t="inlineStr">
        <is>
          <t>Same Day</t>
        </is>
      </c>
      <c r="H412" t="n">
        <v>9</v>
      </c>
      <c r="I412" s="11" t="n">
        <v>1014.45</v>
      </c>
      <c r="J412" s="12" t="n">
        <v>0.15</v>
      </c>
      <c r="K412" s="11" t="n">
        <v>7760.54</v>
      </c>
      <c r="L412" s="11" t="n">
        <v>1822.63</v>
      </c>
      <c r="M412" s="12" t="n">
        <v>0.2349</v>
      </c>
    </row>
    <row r="413">
      <c r="A413" t="inlineStr">
        <is>
          <t>ORD-11802</t>
        </is>
      </c>
      <c r="B413" s="10" t="inlineStr">
        <is>
          <t>2024-05-24</t>
        </is>
      </c>
      <c r="C413" t="inlineStr">
        <is>
          <t>Customer 41</t>
        </is>
      </c>
      <c r="D413" t="inlineStr">
        <is>
          <t>North</t>
        </is>
      </c>
      <c r="E413" t="inlineStr">
        <is>
          <t>Furniture</t>
        </is>
      </c>
      <c r="F413" t="inlineStr">
        <is>
          <t>Bookcase</t>
        </is>
      </c>
      <c r="G413" t="inlineStr">
        <is>
          <t>Same Day</t>
        </is>
      </c>
      <c r="H413" t="n">
        <v>8</v>
      </c>
      <c r="I413" s="11" t="n">
        <v>1012.15</v>
      </c>
      <c r="J413" s="12" t="n">
        <v>0.3</v>
      </c>
      <c r="K413" s="11" t="n">
        <v>5668.04</v>
      </c>
      <c r="L413" s="11" t="n">
        <v>297.41</v>
      </c>
      <c r="M413" s="12" t="n">
        <v>0.0525</v>
      </c>
    </row>
    <row r="414">
      <c r="A414" t="inlineStr">
        <is>
          <t>ORD-11286</t>
        </is>
      </c>
      <c r="B414" s="10" t="inlineStr">
        <is>
          <t>2024-05-24</t>
        </is>
      </c>
      <c r="C414" t="inlineStr">
        <is>
          <t>Customer 161</t>
        </is>
      </c>
      <c r="D414" t="inlineStr">
        <is>
          <t>West</t>
        </is>
      </c>
      <c r="E414" t="inlineStr">
        <is>
          <t>Furniture</t>
        </is>
      </c>
      <c r="F414" t="inlineStr">
        <is>
          <t>Table Lamp</t>
        </is>
      </c>
      <c r="G414" t="inlineStr">
        <is>
          <t>First Class</t>
        </is>
      </c>
      <c r="H414" t="n">
        <v>6</v>
      </c>
      <c r="I414" s="11" t="n">
        <v>99.33</v>
      </c>
      <c r="J414" s="12" t="n">
        <v>0.3</v>
      </c>
      <c r="K414" s="11" t="n">
        <v>417.19</v>
      </c>
      <c r="L414" s="11" t="n">
        <v>-66.98999999999999</v>
      </c>
      <c r="M414" s="12" t="n">
        <v>-0.1606</v>
      </c>
    </row>
    <row r="415">
      <c r="A415" t="inlineStr">
        <is>
          <t>ORD-10760</t>
        </is>
      </c>
      <c r="B415" s="10" t="inlineStr">
        <is>
          <t>2024-05-24</t>
        </is>
      </c>
      <c r="C415" t="inlineStr">
        <is>
          <t>Customer 178</t>
        </is>
      </c>
      <c r="D415" t="inlineStr">
        <is>
          <t>North</t>
        </is>
      </c>
      <c r="E415" t="inlineStr">
        <is>
          <t>Furniture</t>
        </is>
      </c>
      <c r="F415" t="inlineStr">
        <is>
          <t>Bookcase</t>
        </is>
      </c>
      <c r="G415" t="inlineStr">
        <is>
          <t>Same Day</t>
        </is>
      </c>
      <c r="H415" t="n">
        <v>3</v>
      </c>
      <c r="I415" s="11" t="n">
        <v>1075.4</v>
      </c>
      <c r="J415" s="12" t="n">
        <v>0</v>
      </c>
      <c r="K415" s="11" t="n">
        <v>3226.2</v>
      </c>
      <c r="L415" s="11" t="n">
        <v>614.33</v>
      </c>
      <c r="M415" s="12" t="n">
        <v>0.1904</v>
      </c>
    </row>
    <row r="416">
      <c r="A416" t="inlineStr">
        <is>
          <t>ORD-10018</t>
        </is>
      </c>
      <c r="B416" s="10" t="inlineStr">
        <is>
          <t>2024-05-25</t>
        </is>
      </c>
      <c r="C416" t="inlineStr">
        <is>
          <t>Customer 186</t>
        </is>
      </c>
      <c r="D416" t="inlineStr">
        <is>
          <t>South</t>
        </is>
      </c>
      <c r="E416" t="inlineStr">
        <is>
          <t>Office Supplies</t>
        </is>
      </c>
      <c r="F416" t="inlineStr">
        <is>
          <t>Stapler</t>
        </is>
      </c>
      <c r="G416" t="inlineStr">
        <is>
          <t>Standard Class</t>
        </is>
      </c>
      <c r="H416" t="n">
        <v>5</v>
      </c>
      <c r="I416" s="11" t="n">
        <v>965.9299999999999</v>
      </c>
      <c r="J416" s="12" t="n">
        <v>0.1</v>
      </c>
      <c r="K416" s="11" t="n">
        <v>4346.68</v>
      </c>
      <c r="L416" s="11" t="n">
        <v>682.6900000000001</v>
      </c>
      <c r="M416" s="12" t="n">
        <v>0.1571</v>
      </c>
    </row>
    <row r="417">
      <c r="A417" t="inlineStr">
        <is>
          <t>ORD-11765</t>
        </is>
      </c>
      <c r="B417" s="10" t="inlineStr">
        <is>
          <t>2024-05-25</t>
        </is>
      </c>
      <c r="C417" t="inlineStr">
        <is>
          <t>Customer 110</t>
        </is>
      </c>
      <c r="D417" t="inlineStr">
        <is>
          <t>East</t>
        </is>
      </c>
      <c r="E417" t="inlineStr">
        <is>
          <t>Technology</t>
        </is>
      </c>
      <c r="F417" t="inlineStr">
        <is>
          <t>Printer</t>
        </is>
      </c>
      <c r="G417" t="inlineStr">
        <is>
          <t>First Class</t>
        </is>
      </c>
      <c r="H417" t="n">
        <v>9</v>
      </c>
      <c r="I417" s="11" t="n">
        <v>533.29</v>
      </c>
      <c r="J417" s="12" t="n">
        <v>0</v>
      </c>
      <c r="K417" s="11" t="n">
        <v>4799.61</v>
      </c>
      <c r="L417" s="11" t="n">
        <v>1001.29</v>
      </c>
      <c r="M417" s="12" t="n">
        <v>0.2086</v>
      </c>
    </row>
    <row r="418">
      <c r="A418" t="inlineStr">
        <is>
          <t>ORD-11495</t>
        </is>
      </c>
      <c r="B418" s="10" t="inlineStr">
        <is>
          <t>2024-05-25</t>
        </is>
      </c>
      <c r="C418" t="inlineStr">
        <is>
          <t>Customer 31</t>
        </is>
      </c>
      <c r="D418" t="inlineStr">
        <is>
          <t>South</t>
        </is>
      </c>
      <c r="E418" t="inlineStr">
        <is>
          <t>Technology</t>
        </is>
      </c>
      <c r="F418" t="inlineStr">
        <is>
          <t>Printer</t>
        </is>
      </c>
      <c r="G418" t="inlineStr">
        <is>
          <t>Same Day</t>
        </is>
      </c>
      <c r="H418" t="n">
        <v>7</v>
      </c>
      <c r="I418" s="11" t="n">
        <v>71.3</v>
      </c>
      <c r="J418" s="12" t="n">
        <v>0.3</v>
      </c>
      <c r="K418" s="11" t="n">
        <v>349.37</v>
      </c>
      <c r="L418" s="11" t="n">
        <v>69.34</v>
      </c>
      <c r="M418" s="12" t="n">
        <v>0.1985</v>
      </c>
    </row>
    <row r="419">
      <c r="A419" t="inlineStr">
        <is>
          <t>ORD-10521</t>
        </is>
      </c>
      <c r="B419" s="10" t="inlineStr">
        <is>
          <t>2024-05-25</t>
        </is>
      </c>
      <c r="C419" t="inlineStr">
        <is>
          <t>Customer 72</t>
        </is>
      </c>
      <c r="D419" t="inlineStr">
        <is>
          <t>North</t>
        </is>
      </c>
      <c r="E419" t="inlineStr">
        <is>
          <t>Technology</t>
        </is>
      </c>
      <c r="F419" t="inlineStr">
        <is>
          <t>Monitor</t>
        </is>
      </c>
      <c r="G419" t="inlineStr">
        <is>
          <t>Standard Class</t>
        </is>
      </c>
      <c r="H419" t="n">
        <v>8</v>
      </c>
      <c r="I419" s="11" t="n">
        <v>1006.8</v>
      </c>
      <c r="J419" s="12" t="n">
        <v>0</v>
      </c>
      <c r="K419" s="11" t="n">
        <v>8054.4</v>
      </c>
      <c r="L419" s="11" t="n">
        <v>2053.93</v>
      </c>
      <c r="M419" s="12" t="n">
        <v>0.255</v>
      </c>
    </row>
    <row r="420">
      <c r="A420" t="inlineStr">
        <is>
          <t>ORD-10383</t>
        </is>
      </c>
      <c r="B420" s="10" t="inlineStr">
        <is>
          <t>2024-05-26</t>
        </is>
      </c>
      <c r="C420" t="inlineStr">
        <is>
          <t>Customer 30</t>
        </is>
      </c>
      <c r="D420" t="inlineStr">
        <is>
          <t>South</t>
        </is>
      </c>
      <c r="E420" t="inlineStr">
        <is>
          <t>Furniture</t>
        </is>
      </c>
      <c r="F420" t="inlineStr">
        <is>
          <t>Desk</t>
        </is>
      </c>
      <c r="G420" t="inlineStr">
        <is>
          <t>Standard Class</t>
        </is>
      </c>
      <c r="H420" t="n">
        <v>1</v>
      </c>
      <c r="I420" s="11" t="n">
        <v>537.08</v>
      </c>
      <c r="J420" s="12" t="n">
        <v>0</v>
      </c>
      <c r="K420" s="11" t="n">
        <v>537.08</v>
      </c>
      <c r="L420" s="11" t="n">
        <v>237.34</v>
      </c>
      <c r="M420" s="12" t="n">
        <v>0.4419</v>
      </c>
    </row>
    <row r="421">
      <c r="A421" t="inlineStr">
        <is>
          <t>ORD-11441</t>
        </is>
      </c>
      <c r="B421" s="10" t="inlineStr">
        <is>
          <t>2024-05-26</t>
        </is>
      </c>
      <c r="C421" t="inlineStr">
        <is>
          <t>Customer 18</t>
        </is>
      </c>
      <c r="D421" t="inlineStr">
        <is>
          <t>North</t>
        </is>
      </c>
      <c r="E421" t="inlineStr">
        <is>
          <t>Office Supplies</t>
        </is>
      </c>
      <c r="F421" t="inlineStr">
        <is>
          <t>Binder</t>
        </is>
      </c>
      <c r="G421" t="inlineStr">
        <is>
          <t>Same Day</t>
        </is>
      </c>
      <c r="H421" t="n">
        <v>1</v>
      </c>
      <c r="I421" s="11" t="n">
        <v>332.1</v>
      </c>
      <c r="J421" s="12" t="n">
        <v>0</v>
      </c>
      <c r="K421" s="11" t="n">
        <v>332.1</v>
      </c>
      <c r="L421" s="11" t="n">
        <v>52.64</v>
      </c>
      <c r="M421" s="12" t="n">
        <v>0.1585</v>
      </c>
    </row>
    <row r="422">
      <c r="A422" t="inlineStr">
        <is>
          <t>ORD-11242</t>
        </is>
      </c>
      <c r="B422" s="10" t="inlineStr">
        <is>
          <t>2024-05-27</t>
        </is>
      </c>
      <c r="C422" t="inlineStr">
        <is>
          <t>Customer 187</t>
        </is>
      </c>
      <c r="D422" t="inlineStr">
        <is>
          <t>North</t>
        </is>
      </c>
      <c r="E422" t="inlineStr">
        <is>
          <t>Technology</t>
        </is>
      </c>
      <c r="F422" t="inlineStr">
        <is>
          <t>Wireless Mouse</t>
        </is>
      </c>
      <c r="G422" t="inlineStr">
        <is>
          <t>First Class</t>
        </is>
      </c>
      <c r="H422" t="n">
        <v>10</v>
      </c>
      <c r="I422" s="11" t="n">
        <v>474.47</v>
      </c>
      <c r="J422" s="12" t="n">
        <v>0.3</v>
      </c>
      <c r="K422" s="11" t="n">
        <v>3321.29</v>
      </c>
      <c r="L422" s="11" t="n">
        <v>-196.92</v>
      </c>
      <c r="M422" s="12" t="n">
        <v>-0.0593</v>
      </c>
    </row>
    <row r="423">
      <c r="A423" t="inlineStr">
        <is>
          <t>ORD-11872</t>
        </is>
      </c>
      <c r="B423" s="10" t="inlineStr">
        <is>
          <t>2024-05-27</t>
        </is>
      </c>
      <c r="C423" t="inlineStr">
        <is>
          <t>Customer 142</t>
        </is>
      </c>
      <c r="D423" t="inlineStr">
        <is>
          <t>North</t>
        </is>
      </c>
      <c r="E423" t="inlineStr">
        <is>
          <t>Technology</t>
        </is>
      </c>
      <c r="F423" t="inlineStr">
        <is>
          <t>Monitor</t>
        </is>
      </c>
      <c r="G423" t="inlineStr">
        <is>
          <t>Standard Class</t>
        </is>
      </c>
      <c r="H423" t="n">
        <v>5</v>
      </c>
      <c r="I423" s="11" t="n">
        <v>867.0599999999999</v>
      </c>
      <c r="J423" s="12" t="n">
        <v>0</v>
      </c>
      <c r="K423" s="11" t="n">
        <v>4335.3</v>
      </c>
      <c r="L423" s="11" t="n">
        <v>1397.97</v>
      </c>
      <c r="M423" s="12" t="n">
        <v>0.3225</v>
      </c>
    </row>
    <row r="424">
      <c r="A424" t="inlineStr">
        <is>
          <t>ORD-10506</t>
        </is>
      </c>
      <c r="B424" s="10" t="inlineStr">
        <is>
          <t>2024-05-27</t>
        </is>
      </c>
      <c r="C424" t="inlineStr">
        <is>
          <t>Customer 65</t>
        </is>
      </c>
      <c r="D424" t="inlineStr">
        <is>
          <t>South</t>
        </is>
      </c>
      <c r="E424" t="inlineStr">
        <is>
          <t>Technology</t>
        </is>
      </c>
      <c r="F424" t="inlineStr">
        <is>
          <t>Printer</t>
        </is>
      </c>
      <c r="G424" t="inlineStr">
        <is>
          <t>Second Class</t>
        </is>
      </c>
      <c r="H424" t="n">
        <v>6</v>
      </c>
      <c r="I424" s="11" t="n">
        <v>823.87</v>
      </c>
      <c r="J424" s="12" t="n">
        <v>0</v>
      </c>
      <c r="K424" s="11" t="n">
        <v>4943.22</v>
      </c>
      <c r="L424" s="11" t="n">
        <v>837.45</v>
      </c>
      <c r="M424" s="12" t="n">
        <v>0.1694</v>
      </c>
    </row>
    <row r="425">
      <c r="A425" t="inlineStr">
        <is>
          <t>ORD-10148</t>
        </is>
      </c>
      <c r="B425" s="10" t="inlineStr">
        <is>
          <t>2024-05-27</t>
        </is>
      </c>
      <c r="C425" t="inlineStr">
        <is>
          <t>Customer 102</t>
        </is>
      </c>
      <c r="D425" t="inlineStr">
        <is>
          <t>North</t>
        </is>
      </c>
      <c r="E425" t="inlineStr">
        <is>
          <t>Office Supplies</t>
        </is>
      </c>
      <c r="F425" t="inlineStr">
        <is>
          <t>Pens (Box)</t>
        </is>
      </c>
      <c r="G425" t="inlineStr">
        <is>
          <t>First Class</t>
        </is>
      </c>
      <c r="H425" t="n">
        <v>9</v>
      </c>
      <c r="I425" s="11" t="n">
        <v>652.78</v>
      </c>
      <c r="J425" s="12" t="n">
        <v>0.1</v>
      </c>
      <c r="K425" s="11" t="n">
        <v>5287.52</v>
      </c>
      <c r="L425" s="11" t="n">
        <v>390.56</v>
      </c>
      <c r="M425" s="12" t="n">
        <v>0.07389999999999999</v>
      </c>
    </row>
    <row r="426">
      <c r="A426" t="inlineStr">
        <is>
          <t>ORD-10035</t>
        </is>
      </c>
      <c r="B426" s="10" t="inlineStr">
        <is>
          <t>2024-05-27</t>
        </is>
      </c>
      <c r="C426" t="inlineStr">
        <is>
          <t>Customer 137</t>
        </is>
      </c>
      <c r="D426" t="inlineStr">
        <is>
          <t>East</t>
        </is>
      </c>
      <c r="E426" t="inlineStr">
        <is>
          <t>Technology</t>
        </is>
      </c>
      <c r="F426" t="inlineStr">
        <is>
          <t>Wireless Mouse</t>
        </is>
      </c>
      <c r="G426" t="inlineStr">
        <is>
          <t>First Class</t>
        </is>
      </c>
      <c r="H426" t="n">
        <v>4</v>
      </c>
      <c r="I426" s="11" t="n">
        <v>644.84</v>
      </c>
      <c r="J426" s="12" t="n">
        <v>0.15</v>
      </c>
      <c r="K426" s="11" t="n">
        <v>2192.46</v>
      </c>
      <c r="L426" s="11" t="n">
        <v>313.64</v>
      </c>
      <c r="M426" s="12" t="n">
        <v>0.1431</v>
      </c>
    </row>
    <row r="427">
      <c r="A427" t="inlineStr">
        <is>
          <t>ORD-10692</t>
        </is>
      </c>
      <c r="B427" s="10" t="inlineStr">
        <is>
          <t>2024-05-27</t>
        </is>
      </c>
      <c r="C427" t="inlineStr">
        <is>
          <t>Customer 104</t>
        </is>
      </c>
      <c r="D427" t="inlineStr">
        <is>
          <t>North</t>
        </is>
      </c>
      <c r="E427" t="inlineStr">
        <is>
          <t>Office Supplies</t>
        </is>
      </c>
      <c r="F427" t="inlineStr">
        <is>
          <t>Stapler</t>
        </is>
      </c>
      <c r="G427" t="inlineStr">
        <is>
          <t>Standard Class</t>
        </is>
      </c>
      <c r="H427" t="n">
        <v>1</v>
      </c>
      <c r="I427" s="11" t="n">
        <v>257.55</v>
      </c>
      <c r="J427" s="12" t="n">
        <v>0.3</v>
      </c>
      <c r="K427" s="11" t="n">
        <v>180.28</v>
      </c>
      <c r="L427" s="11" t="n">
        <v>12.33</v>
      </c>
      <c r="M427" s="12" t="n">
        <v>0.0684</v>
      </c>
    </row>
    <row r="428">
      <c r="A428" t="inlineStr">
        <is>
          <t>ORD-11931</t>
        </is>
      </c>
      <c r="B428" s="10" t="inlineStr">
        <is>
          <t>2024-05-27</t>
        </is>
      </c>
      <c r="C428" t="inlineStr">
        <is>
          <t>Customer 131</t>
        </is>
      </c>
      <c r="D428" t="inlineStr">
        <is>
          <t>East</t>
        </is>
      </c>
      <c r="E428" t="inlineStr">
        <is>
          <t>Office Supplies</t>
        </is>
      </c>
      <c r="F428" t="inlineStr">
        <is>
          <t>Stapler</t>
        </is>
      </c>
      <c r="G428" t="inlineStr">
        <is>
          <t>First Class</t>
        </is>
      </c>
      <c r="H428" t="n">
        <v>2</v>
      </c>
      <c r="I428" s="11" t="n">
        <v>393.09</v>
      </c>
      <c r="J428" s="12" t="n">
        <v>0</v>
      </c>
      <c r="K428" s="11" t="n">
        <v>786.1799999999999</v>
      </c>
      <c r="L428" s="11" t="n">
        <v>275.56</v>
      </c>
      <c r="M428" s="12" t="n">
        <v>0.3505</v>
      </c>
    </row>
    <row r="429">
      <c r="A429" t="inlineStr">
        <is>
          <t>ORD-11182</t>
        </is>
      </c>
      <c r="B429" s="10" t="inlineStr">
        <is>
          <t>2024-05-27</t>
        </is>
      </c>
      <c r="C429" t="inlineStr">
        <is>
          <t>Customer 49</t>
        </is>
      </c>
      <c r="D429" t="inlineStr">
        <is>
          <t>East</t>
        </is>
      </c>
      <c r="E429" t="inlineStr">
        <is>
          <t>Technology</t>
        </is>
      </c>
      <c r="F429" t="inlineStr">
        <is>
          <t>Wireless Mouse</t>
        </is>
      </c>
      <c r="G429" t="inlineStr">
        <is>
          <t>First Class</t>
        </is>
      </c>
      <c r="H429" t="n">
        <v>8</v>
      </c>
      <c r="I429" s="11" t="n">
        <v>849.48</v>
      </c>
      <c r="J429" s="12" t="n">
        <v>0.1</v>
      </c>
      <c r="K429" s="11" t="n">
        <v>6116.26</v>
      </c>
      <c r="L429" s="11" t="n">
        <v>2017.49</v>
      </c>
      <c r="M429" s="12" t="n">
        <v>0.3299</v>
      </c>
    </row>
    <row r="430">
      <c r="A430" t="inlineStr">
        <is>
          <t>ORD-11409</t>
        </is>
      </c>
      <c r="B430" s="10" t="inlineStr">
        <is>
          <t>2024-05-28</t>
        </is>
      </c>
      <c r="C430" t="inlineStr">
        <is>
          <t>Customer 67</t>
        </is>
      </c>
      <c r="D430" t="inlineStr">
        <is>
          <t>West</t>
        </is>
      </c>
      <c r="E430" t="inlineStr">
        <is>
          <t>Office Supplies</t>
        </is>
      </c>
      <c r="F430" t="inlineStr">
        <is>
          <t>Pens (Box)</t>
        </is>
      </c>
      <c r="G430" t="inlineStr">
        <is>
          <t>Second Class</t>
        </is>
      </c>
      <c r="H430" t="n">
        <v>9</v>
      </c>
      <c r="I430" s="11" t="n">
        <v>991.35</v>
      </c>
      <c r="J430" s="12" t="n">
        <v>0</v>
      </c>
      <c r="K430" s="11" t="n">
        <v>8922.15</v>
      </c>
      <c r="L430" s="11" t="n">
        <v>2777.08</v>
      </c>
      <c r="M430" s="12" t="n">
        <v>0.3113</v>
      </c>
    </row>
    <row r="431">
      <c r="A431" t="inlineStr">
        <is>
          <t>ORD-11111</t>
        </is>
      </c>
      <c r="B431" s="10" t="inlineStr">
        <is>
          <t>2024-05-28</t>
        </is>
      </c>
      <c r="C431" t="inlineStr">
        <is>
          <t>Customer 102</t>
        </is>
      </c>
      <c r="D431" t="inlineStr">
        <is>
          <t>North</t>
        </is>
      </c>
      <c r="E431" t="inlineStr">
        <is>
          <t>Furniture</t>
        </is>
      </c>
      <c r="F431" t="inlineStr">
        <is>
          <t>Table Lamp</t>
        </is>
      </c>
      <c r="G431" t="inlineStr">
        <is>
          <t>First Class</t>
        </is>
      </c>
      <c r="H431" t="n">
        <v>10</v>
      </c>
      <c r="I431" s="11" t="n">
        <v>1165.15</v>
      </c>
      <c r="J431" s="12" t="n">
        <v>0</v>
      </c>
      <c r="K431" s="11" t="n">
        <v>11651.5</v>
      </c>
      <c r="L431" s="11" t="n">
        <v>4492.16</v>
      </c>
      <c r="M431" s="12" t="n">
        <v>0.3855</v>
      </c>
    </row>
    <row r="432">
      <c r="A432" t="inlineStr">
        <is>
          <t>ORD-10280</t>
        </is>
      </c>
      <c r="B432" s="10" t="inlineStr">
        <is>
          <t>2024-05-28</t>
        </is>
      </c>
      <c r="C432" t="inlineStr">
        <is>
          <t>Customer 118</t>
        </is>
      </c>
      <c r="D432" t="inlineStr">
        <is>
          <t>North</t>
        </is>
      </c>
      <c r="E432" t="inlineStr">
        <is>
          <t>Office Supplies</t>
        </is>
      </c>
      <c r="F432" t="inlineStr">
        <is>
          <t>Paper</t>
        </is>
      </c>
      <c r="G432" t="inlineStr">
        <is>
          <t>Same Day</t>
        </is>
      </c>
      <c r="H432" t="n">
        <v>10</v>
      </c>
      <c r="I432" s="11" t="n">
        <v>793.6799999999999</v>
      </c>
      <c r="J432" s="12" t="n">
        <v>0.1</v>
      </c>
      <c r="K432" s="11" t="n">
        <v>7143.12</v>
      </c>
      <c r="L432" s="11" t="n">
        <v>1509.58</v>
      </c>
      <c r="M432" s="12" t="n">
        <v>0.2113</v>
      </c>
    </row>
    <row r="433">
      <c r="A433" t="inlineStr">
        <is>
          <t>ORD-10987</t>
        </is>
      </c>
      <c r="B433" s="10" t="inlineStr">
        <is>
          <t>2024-05-29</t>
        </is>
      </c>
      <c r="C433" t="inlineStr">
        <is>
          <t>Customer 2</t>
        </is>
      </c>
      <c r="D433" t="inlineStr">
        <is>
          <t>West</t>
        </is>
      </c>
      <c r="E433" t="inlineStr">
        <is>
          <t>Technology</t>
        </is>
      </c>
      <c r="F433" t="inlineStr">
        <is>
          <t>Wireless Mouse</t>
        </is>
      </c>
      <c r="G433" t="inlineStr">
        <is>
          <t>Standard Class</t>
        </is>
      </c>
      <c r="H433" t="n">
        <v>9</v>
      </c>
      <c r="I433" s="11" t="n">
        <v>182.39</v>
      </c>
      <c r="J433" s="12" t="n">
        <v>0</v>
      </c>
      <c r="K433" s="11" t="n">
        <v>1641.51</v>
      </c>
      <c r="L433" s="11" t="n">
        <v>388.65</v>
      </c>
      <c r="M433" s="12" t="n">
        <v>0.2368</v>
      </c>
    </row>
    <row r="434">
      <c r="A434" t="inlineStr">
        <is>
          <t>ORD-10297</t>
        </is>
      </c>
      <c r="B434" s="10" t="inlineStr">
        <is>
          <t>2024-05-29</t>
        </is>
      </c>
      <c r="C434" t="inlineStr">
        <is>
          <t>Customer 83</t>
        </is>
      </c>
      <c r="D434" t="inlineStr">
        <is>
          <t>North</t>
        </is>
      </c>
      <c r="E434" t="inlineStr">
        <is>
          <t>Technology</t>
        </is>
      </c>
      <c r="F434" t="inlineStr">
        <is>
          <t>Monitor</t>
        </is>
      </c>
      <c r="G434" t="inlineStr">
        <is>
          <t>Standard Class</t>
        </is>
      </c>
      <c r="H434" t="n">
        <v>5</v>
      </c>
      <c r="I434" s="11" t="n">
        <v>973.3099999999999</v>
      </c>
      <c r="J434" s="12" t="n">
        <v>0</v>
      </c>
      <c r="K434" s="11" t="n">
        <v>4866.55</v>
      </c>
      <c r="L434" s="11" t="n">
        <v>1529.78</v>
      </c>
      <c r="M434" s="12" t="n">
        <v>0.3143</v>
      </c>
    </row>
    <row r="435">
      <c r="A435" t="inlineStr">
        <is>
          <t>ORD-11841</t>
        </is>
      </c>
      <c r="B435" s="10" t="inlineStr">
        <is>
          <t>2024-05-29</t>
        </is>
      </c>
      <c r="C435" t="inlineStr">
        <is>
          <t>Customer 192</t>
        </is>
      </c>
      <c r="D435" t="inlineStr">
        <is>
          <t>East</t>
        </is>
      </c>
      <c r="E435" t="inlineStr">
        <is>
          <t>Furniture</t>
        </is>
      </c>
      <c r="F435" t="inlineStr">
        <is>
          <t>Chair</t>
        </is>
      </c>
      <c r="G435" t="inlineStr">
        <is>
          <t>First Class</t>
        </is>
      </c>
      <c r="H435" t="n">
        <v>9</v>
      </c>
      <c r="I435" s="11" t="n">
        <v>841.86</v>
      </c>
      <c r="J435" s="12" t="n">
        <v>0.1</v>
      </c>
      <c r="K435" s="11" t="n">
        <v>6819.07</v>
      </c>
      <c r="L435" s="11" t="n">
        <v>2168.34</v>
      </c>
      <c r="M435" s="12" t="n">
        <v>0.318</v>
      </c>
    </row>
    <row r="436">
      <c r="A436" t="inlineStr">
        <is>
          <t>ORD-10725</t>
        </is>
      </c>
      <c r="B436" s="10" t="inlineStr">
        <is>
          <t>2024-05-30</t>
        </is>
      </c>
      <c r="C436" t="inlineStr">
        <is>
          <t>Customer 165</t>
        </is>
      </c>
      <c r="D436" t="inlineStr">
        <is>
          <t>South</t>
        </is>
      </c>
      <c r="E436" t="inlineStr">
        <is>
          <t>Technology</t>
        </is>
      </c>
      <c r="F436" t="inlineStr">
        <is>
          <t>Printer</t>
        </is>
      </c>
      <c r="G436" t="inlineStr">
        <is>
          <t>Same Day</t>
        </is>
      </c>
      <c r="H436" t="n">
        <v>7</v>
      </c>
      <c r="I436" s="11" t="n">
        <v>526.3099999999999</v>
      </c>
      <c r="J436" s="12" t="n">
        <v>0</v>
      </c>
      <c r="K436" s="11" t="n">
        <v>3684.17</v>
      </c>
      <c r="L436" s="11" t="n">
        <v>1174.78</v>
      </c>
      <c r="M436" s="12" t="n">
        <v>0.3189</v>
      </c>
    </row>
    <row r="437">
      <c r="A437" t="inlineStr">
        <is>
          <t>ORD-10206</t>
        </is>
      </c>
      <c r="B437" s="10" t="inlineStr">
        <is>
          <t>2024-05-30</t>
        </is>
      </c>
      <c r="C437" t="inlineStr">
        <is>
          <t>Customer 23</t>
        </is>
      </c>
      <c r="D437" t="inlineStr">
        <is>
          <t>North</t>
        </is>
      </c>
      <c r="E437" t="inlineStr">
        <is>
          <t>Furniture</t>
        </is>
      </c>
      <c r="F437" t="inlineStr">
        <is>
          <t>Chair</t>
        </is>
      </c>
      <c r="G437" t="inlineStr">
        <is>
          <t>Same Day</t>
        </is>
      </c>
      <c r="H437" t="n">
        <v>10</v>
      </c>
      <c r="I437" s="11" t="n">
        <v>1171</v>
      </c>
      <c r="J437" s="12" t="n">
        <v>0</v>
      </c>
      <c r="K437" s="11" t="n">
        <v>11710</v>
      </c>
      <c r="L437" s="11" t="n">
        <v>3741.18</v>
      </c>
      <c r="M437" s="12" t="n">
        <v>0.3195</v>
      </c>
    </row>
    <row r="438">
      <c r="A438" t="inlineStr">
        <is>
          <t>ORD-10522</t>
        </is>
      </c>
      <c r="B438" s="10" t="inlineStr">
        <is>
          <t>2024-06-01</t>
        </is>
      </c>
      <c r="C438" t="inlineStr">
        <is>
          <t>Customer 27</t>
        </is>
      </c>
      <c r="D438" t="inlineStr">
        <is>
          <t>South</t>
        </is>
      </c>
      <c r="E438" t="inlineStr">
        <is>
          <t>Furniture</t>
        </is>
      </c>
      <c r="F438" t="inlineStr">
        <is>
          <t>Bookcase</t>
        </is>
      </c>
      <c r="G438" t="inlineStr">
        <is>
          <t>Same Day</t>
        </is>
      </c>
      <c r="H438" t="n">
        <v>9</v>
      </c>
      <c r="I438" s="11" t="n">
        <v>600.5599999999999</v>
      </c>
      <c r="J438" s="12" t="n">
        <v>0</v>
      </c>
      <c r="K438" s="11" t="n">
        <v>5405.04</v>
      </c>
      <c r="L438" s="11" t="n">
        <v>2697.83</v>
      </c>
      <c r="M438" s="12" t="n">
        <v>0.4991</v>
      </c>
    </row>
    <row r="439">
      <c r="A439" t="inlineStr">
        <is>
          <t>ORD-11759</t>
        </is>
      </c>
      <c r="B439" s="10" t="inlineStr">
        <is>
          <t>2024-06-01</t>
        </is>
      </c>
      <c r="C439" t="inlineStr">
        <is>
          <t>Customer 133</t>
        </is>
      </c>
      <c r="D439" t="inlineStr">
        <is>
          <t>North</t>
        </is>
      </c>
      <c r="E439" t="inlineStr">
        <is>
          <t>Office Supplies</t>
        </is>
      </c>
      <c r="F439" t="inlineStr">
        <is>
          <t>Pens (Box)</t>
        </is>
      </c>
      <c r="G439" t="inlineStr">
        <is>
          <t>Same Day</t>
        </is>
      </c>
      <c r="H439" t="n">
        <v>9</v>
      </c>
      <c r="I439" s="11" t="n">
        <v>724.76</v>
      </c>
      <c r="J439" s="12" t="n">
        <v>0</v>
      </c>
      <c r="K439" s="11" t="n">
        <v>6522.84</v>
      </c>
      <c r="L439" s="11" t="n">
        <v>3147.98</v>
      </c>
      <c r="M439" s="12" t="n">
        <v>0.4826</v>
      </c>
    </row>
    <row r="440">
      <c r="A440" t="inlineStr">
        <is>
          <t>ORD-11774</t>
        </is>
      </c>
      <c r="B440" s="10" t="inlineStr">
        <is>
          <t>2024-06-01</t>
        </is>
      </c>
      <c r="C440" t="inlineStr">
        <is>
          <t>Customer 173</t>
        </is>
      </c>
      <c r="D440" t="inlineStr">
        <is>
          <t>West</t>
        </is>
      </c>
      <c r="E440" t="inlineStr">
        <is>
          <t>Furniture</t>
        </is>
      </c>
      <c r="F440" t="inlineStr">
        <is>
          <t>Desk</t>
        </is>
      </c>
      <c r="G440" t="inlineStr">
        <is>
          <t>First Class</t>
        </is>
      </c>
      <c r="H440" t="n">
        <v>5</v>
      </c>
      <c r="I440" s="11" t="n">
        <v>1174.25</v>
      </c>
      <c r="J440" s="12" t="n">
        <v>0</v>
      </c>
      <c r="K440" s="11" t="n">
        <v>5871.25</v>
      </c>
      <c r="L440" s="11" t="n">
        <v>1556.62</v>
      </c>
      <c r="M440" s="12" t="n">
        <v>0.2651</v>
      </c>
    </row>
    <row r="441">
      <c r="A441" t="inlineStr">
        <is>
          <t>ORD-10724</t>
        </is>
      </c>
      <c r="B441" s="10" t="inlineStr">
        <is>
          <t>2024-06-01</t>
        </is>
      </c>
      <c r="C441" t="inlineStr">
        <is>
          <t>Customer 2</t>
        </is>
      </c>
      <c r="D441" t="inlineStr">
        <is>
          <t>West</t>
        </is>
      </c>
      <c r="E441" t="inlineStr">
        <is>
          <t>Technology</t>
        </is>
      </c>
      <c r="F441" t="inlineStr">
        <is>
          <t>Monitor</t>
        </is>
      </c>
      <c r="G441" t="inlineStr">
        <is>
          <t>First Class</t>
        </is>
      </c>
      <c r="H441" t="n">
        <v>2</v>
      </c>
      <c r="I441" s="11" t="n">
        <v>60.05</v>
      </c>
      <c r="J441" s="12" t="n">
        <v>0</v>
      </c>
      <c r="K441" s="11" t="n">
        <v>120.1</v>
      </c>
      <c r="L441" s="11" t="n">
        <v>25.8</v>
      </c>
      <c r="M441" s="12" t="n">
        <v>0.2148</v>
      </c>
    </row>
    <row r="442">
      <c r="A442" t="inlineStr">
        <is>
          <t>ORD-11461</t>
        </is>
      </c>
      <c r="B442" s="10" t="inlineStr">
        <is>
          <t>2024-06-02</t>
        </is>
      </c>
      <c r="C442" t="inlineStr">
        <is>
          <t>Customer 3</t>
        </is>
      </c>
      <c r="D442" t="inlineStr">
        <is>
          <t>East</t>
        </is>
      </c>
      <c r="E442" t="inlineStr">
        <is>
          <t>Office Supplies</t>
        </is>
      </c>
      <c r="F442" t="inlineStr">
        <is>
          <t>Binder</t>
        </is>
      </c>
      <c r="G442" t="inlineStr">
        <is>
          <t>Standard Class</t>
        </is>
      </c>
      <c r="H442" t="n">
        <v>2</v>
      </c>
      <c r="I442" s="11" t="n">
        <v>1096.33</v>
      </c>
      <c r="J442" s="12" t="n">
        <v>0</v>
      </c>
      <c r="K442" s="11" t="n">
        <v>2192.66</v>
      </c>
      <c r="L442" s="11" t="n">
        <v>717.75</v>
      </c>
      <c r="M442" s="12" t="n">
        <v>0.3273</v>
      </c>
    </row>
    <row r="443">
      <c r="A443" t="inlineStr">
        <is>
          <t>ORD-10901</t>
        </is>
      </c>
      <c r="B443" s="10" t="inlineStr">
        <is>
          <t>2024-06-02</t>
        </is>
      </c>
      <c r="C443" t="inlineStr">
        <is>
          <t>Customer 85</t>
        </is>
      </c>
      <c r="D443" t="inlineStr">
        <is>
          <t>East</t>
        </is>
      </c>
      <c r="E443" t="inlineStr">
        <is>
          <t>Technology</t>
        </is>
      </c>
      <c r="F443" t="inlineStr">
        <is>
          <t>Laptop</t>
        </is>
      </c>
      <c r="G443" t="inlineStr">
        <is>
          <t>Same Day</t>
        </is>
      </c>
      <c r="H443" t="n">
        <v>6</v>
      </c>
      <c r="I443" s="11" t="n">
        <v>552.26</v>
      </c>
      <c r="J443" s="12" t="n">
        <v>0</v>
      </c>
      <c r="K443" s="11" t="n">
        <v>3313.56</v>
      </c>
      <c r="L443" s="11" t="n">
        <v>1157.83</v>
      </c>
      <c r="M443" s="12" t="n">
        <v>0.3494</v>
      </c>
    </row>
    <row r="444">
      <c r="A444" t="inlineStr">
        <is>
          <t>ORD-11586</t>
        </is>
      </c>
      <c r="B444" s="10" t="inlineStr">
        <is>
          <t>2024-06-02</t>
        </is>
      </c>
      <c r="C444" t="inlineStr">
        <is>
          <t>Customer 52</t>
        </is>
      </c>
      <c r="D444" t="inlineStr">
        <is>
          <t>North</t>
        </is>
      </c>
      <c r="E444" t="inlineStr">
        <is>
          <t>Office Supplies</t>
        </is>
      </c>
      <c r="F444" t="inlineStr">
        <is>
          <t>Stapler</t>
        </is>
      </c>
      <c r="G444" t="inlineStr">
        <is>
          <t>First Class</t>
        </is>
      </c>
      <c r="H444" t="n">
        <v>1</v>
      </c>
      <c r="I444" s="11" t="n">
        <v>245.16</v>
      </c>
      <c r="J444" s="12" t="n">
        <v>0.1</v>
      </c>
      <c r="K444" s="11" t="n">
        <v>220.64</v>
      </c>
      <c r="L444" s="11" t="n">
        <v>40.41</v>
      </c>
      <c r="M444" s="12" t="n">
        <v>0.1831</v>
      </c>
    </row>
    <row r="445">
      <c r="A445" t="inlineStr">
        <is>
          <t>ORD-10119</t>
        </is>
      </c>
      <c r="B445" s="10" t="inlineStr">
        <is>
          <t>2024-06-02</t>
        </is>
      </c>
      <c r="C445" t="inlineStr">
        <is>
          <t>Customer 133</t>
        </is>
      </c>
      <c r="D445" t="inlineStr">
        <is>
          <t>North</t>
        </is>
      </c>
      <c r="E445" t="inlineStr">
        <is>
          <t>Office Supplies</t>
        </is>
      </c>
      <c r="F445" t="inlineStr">
        <is>
          <t>Stapler</t>
        </is>
      </c>
      <c r="G445" t="inlineStr">
        <is>
          <t>Same Day</t>
        </is>
      </c>
      <c r="H445" t="n">
        <v>2</v>
      </c>
      <c r="I445" s="11" t="n">
        <v>249.25</v>
      </c>
      <c r="J445" s="12" t="n">
        <v>0.1</v>
      </c>
      <c r="K445" s="11" t="n">
        <v>448.65</v>
      </c>
      <c r="L445" s="11" t="n">
        <v>195.36</v>
      </c>
      <c r="M445" s="12" t="n">
        <v>0.4354</v>
      </c>
    </row>
    <row r="446">
      <c r="A446" t="inlineStr">
        <is>
          <t>ORD-10339</t>
        </is>
      </c>
      <c r="B446" s="10" t="inlineStr">
        <is>
          <t>2024-06-02</t>
        </is>
      </c>
      <c r="C446" t="inlineStr">
        <is>
          <t>Customer 86</t>
        </is>
      </c>
      <c r="D446" t="inlineStr">
        <is>
          <t>East</t>
        </is>
      </c>
      <c r="E446" t="inlineStr">
        <is>
          <t>Furniture</t>
        </is>
      </c>
      <c r="F446" t="inlineStr">
        <is>
          <t>Table Lamp</t>
        </is>
      </c>
      <c r="G446" t="inlineStr">
        <is>
          <t>Standard Class</t>
        </is>
      </c>
      <c r="H446" t="n">
        <v>1</v>
      </c>
      <c r="I446" s="11" t="n">
        <v>876.75</v>
      </c>
      <c r="J446" s="12" t="n">
        <v>0.2</v>
      </c>
      <c r="K446" s="11" t="n">
        <v>701.4</v>
      </c>
      <c r="L446" s="11" t="n">
        <v>30.88</v>
      </c>
      <c r="M446" s="12" t="n">
        <v>0.044</v>
      </c>
    </row>
    <row r="447">
      <c r="A447" t="inlineStr">
        <is>
          <t>ORD-11229</t>
        </is>
      </c>
      <c r="B447" s="10" t="inlineStr">
        <is>
          <t>2024-06-03</t>
        </is>
      </c>
      <c r="C447" t="inlineStr">
        <is>
          <t>Customer 142</t>
        </is>
      </c>
      <c r="D447" t="inlineStr">
        <is>
          <t>North</t>
        </is>
      </c>
      <c r="E447" t="inlineStr">
        <is>
          <t>Furniture</t>
        </is>
      </c>
      <c r="F447" t="inlineStr">
        <is>
          <t>Bookcase</t>
        </is>
      </c>
      <c r="G447" t="inlineStr">
        <is>
          <t>First Class</t>
        </is>
      </c>
      <c r="H447" t="n">
        <v>7</v>
      </c>
      <c r="I447" s="11" t="n">
        <v>155.48</v>
      </c>
      <c r="J447" s="12" t="n">
        <v>0.15</v>
      </c>
      <c r="K447" s="11" t="n">
        <v>925.11</v>
      </c>
      <c r="L447" s="11" t="n">
        <v>23.02</v>
      </c>
      <c r="M447" s="12" t="n">
        <v>0.0249</v>
      </c>
    </row>
    <row r="448">
      <c r="A448" t="inlineStr">
        <is>
          <t>ORD-11839</t>
        </is>
      </c>
      <c r="B448" s="10" t="inlineStr">
        <is>
          <t>2024-06-03</t>
        </is>
      </c>
      <c r="C448" t="inlineStr">
        <is>
          <t>Customer 173</t>
        </is>
      </c>
      <c r="D448" t="inlineStr">
        <is>
          <t>West</t>
        </is>
      </c>
      <c r="E448" t="inlineStr">
        <is>
          <t>Technology</t>
        </is>
      </c>
      <c r="F448" t="inlineStr">
        <is>
          <t>Printer</t>
        </is>
      </c>
      <c r="G448" t="inlineStr">
        <is>
          <t>Standard Class</t>
        </is>
      </c>
      <c r="H448" t="n">
        <v>6</v>
      </c>
      <c r="I448" s="11" t="n">
        <v>845.49</v>
      </c>
      <c r="J448" s="12" t="n">
        <v>0</v>
      </c>
      <c r="K448" s="11" t="n">
        <v>5072.94</v>
      </c>
      <c r="L448" s="11" t="n">
        <v>2287.56</v>
      </c>
      <c r="M448" s="12" t="n">
        <v>0.4509</v>
      </c>
    </row>
    <row r="449">
      <c r="A449" t="inlineStr">
        <is>
          <t>ORD-11134</t>
        </is>
      </c>
      <c r="B449" s="10" t="inlineStr">
        <is>
          <t>2024-06-04</t>
        </is>
      </c>
      <c r="C449" t="inlineStr">
        <is>
          <t>Customer 5</t>
        </is>
      </c>
      <c r="D449" t="inlineStr">
        <is>
          <t>South</t>
        </is>
      </c>
      <c r="E449" t="inlineStr">
        <is>
          <t>Technology</t>
        </is>
      </c>
      <c r="F449" t="inlineStr">
        <is>
          <t>Laptop</t>
        </is>
      </c>
      <c r="G449" t="inlineStr">
        <is>
          <t>Standard Class</t>
        </is>
      </c>
      <c r="H449" t="n">
        <v>8</v>
      </c>
      <c r="I449" s="11" t="n">
        <v>220.33</v>
      </c>
      <c r="J449" s="12" t="n">
        <v>0.1</v>
      </c>
      <c r="K449" s="11" t="n">
        <v>1586.38</v>
      </c>
      <c r="L449" s="11" t="n">
        <v>336.09</v>
      </c>
      <c r="M449" s="12" t="n">
        <v>0.2119</v>
      </c>
    </row>
    <row r="450">
      <c r="A450" t="inlineStr">
        <is>
          <t>ORD-11888</t>
        </is>
      </c>
      <c r="B450" s="10" t="inlineStr">
        <is>
          <t>2024-06-04</t>
        </is>
      </c>
      <c r="C450" t="inlineStr">
        <is>
          <t>Customer 30</t>
        </is>
      </c>
      <c r="D450" t="inlineStr">
        <is>
          <t>South</t>
        </is>
      </c>
      <c r="E450" t="inlineStr">
        <is>
          <t>Technology</t>
        </is>
      </c>
      <c r="F450" t="inlineStr">
        <is>
          <t>Wireless Mouse</t>
        </is>
      </c>
      <c r="G450" t="inlineStr">
        <is>
          <t>Standard Class</t>
        </is>
      </c>
      <c r="H450" t="n">
        <v>9</v>
      </c>
      <c r="I450" s="11" t="n">
        <v>653.0700000000001</v>
      </c>
      <c r="J450" s="12" t="n">
        <v>0</v>
      </c>
      <c r="K450" s="11" t="n">
        <v>5877.63</v>
      </c>
      <c r="L450" s="11" t="n">
        <v>1088.55</v>
      </c>
      <c r="M450" s="12" t="n">
        <v>0.1852</v>
      </c>
    </row>
    <row r="451">
      <c r="A451" t="inlineStr">
        <is>
          <t>ORD-10615</t>
        </is>
      </c>
      <c r="B451" s="10" t="inlineStr">
        <is>
          <t>2024-06-05</t>
        </is>
      </c>
      <c r="C451" t="inlineStr">
        <is>
          <t>Customer 53</t>
        </is>
      </c>
      <c r="D451" t="inlineStr">
        <is>
          <t>South</t>
        </is>
      </c>
      <c r="E451" t="inlineStr">
        <is>
          <t>Office Supplies</t>
        </is>
      </c>
      <c r="F451" t="inlineStr">
        <is>
          <t>Stapler</t>
        </is>
      </c>
      <c r="G451" t="inlineStr">
        <is>
          <t>Standard Class</t>
        </is>
      </c>
      <c r="H451" t="n">
        <v>10</v>
      </c>
      <c r="I451" s="11" t="n">
        <v>227.81</v>
      </c>
      <c r="J451" s="12" t="n">
        <v>0</v>
      </c>
      <c r="K451" s="11" t="n">
        <v>2278.1</v>
      </c>
      <c r="L451" s="11" t="n">
        <v>881.35</v>
      </c>
      <c r="M451" s="12" t="n">
        <v>0.3869</v>
      </c>
    </row>
    <row r="452">
      <c r="A452" t="inlineStr">
        <is>
          <t>ORD-11886</t>
        </is>
      </c>
      <c r="B452" s="10" t="inlineStr">
        <is>
          <t>2024-06-05</t>
        </is>
      </c>
      <c r="C452" t="inlineStr">
        <is>
          <t>Customer 49</t>
        </is>
      </c>
      <c r="D452" t="inlineStr">
        <is>
          <t>East</t>
        </is>
      </c>
      <c r="E452" t="inlineStr">
        <is>
          <t>Office Supplies</t>
        </is>
      </c>
      <c r="F452" t="inlineStr">
        <is>
          <t>Stapler</t>
        </is>
      </c>
      <c r="G452" t="inlineStr">
        <is>
          <t>Same Day</t>
        </is>
      </c>
      <c r="H452" t="n">
        <v>5</v>
      </c>
      <c r="I452" s="11" t="n">
        <v>516.9</v>
      </c>
      <c r="J452" s="12" t="n">
        <v>0.2</v>
      </c>
      <c r="K452" s="11" t="n">
        <v>2067.6</v>
      </c>
      <c r="L452" s="11" t="n">
        <v>559.83</v>
      </c>
      <c r="M452" s="12" t="n">
        <v>0.2708</v>
      </c>
    </row>
    <row r="453">
      <c r="A453" t="inlineStr">
        <is>
          <t>ORD-11904</t>
        </is>
      </c>
      <c r="B453" s="10" t="inlineStr">
        <is>
          <t>2024-06-06</t>
        </is>
      </c>
      <c r="C453" t="inlineStr">
        <is>
          <t>Customer 6</t>
        </is>
      </c>
      <c r="D453" t="inlineStr">
        <is>
          <t>West</t>
        </is>
      </c>
      <c r="E453" t="inlineStr">
        <is>
          <t>Furniture</t>
        </is>
      </c>
      <c r="F453" t="inlineStr">
        <is>
          <t>Bookcase</t>
        </is>
      </c>
      <c r="G453" t="inlineStr">
        <is>
          <t>First Class</t>
        </is>
      </c>
      <c r="H453" t="n">
        <v>6</v>
      </c>
      <c r="I453" s="11" t="n">
        <v>263.24</v>
      </c>
      <c r="J453" s="12" t="n">
        <v>0</v>
      </c>
      <c r="K453" s="11" t="n">
        <v>1579.44</v>
      </c>
      <c r="L453" s="11" t="n">
        <v>459.77</v>
      </c>
      <c r="M453" s="12" t="n">
        <v>0.2911</v>
      </c>
    </row>
    <row r="454">
      <c r="A454" t="inlineStr">
        <is>
          <t>ORD-11768</t>
        </is>
      </c>
      <c r="B454" s="10" t="inlineStr">
        <is>
          <t>2024-06-07</t>
        </is>
      </c>
      <c r="C454" t="inlineStr">
        <is>
          <t>Customer 38</t>
        </is>
      </c>
      <c r="D454" t="inlineStr">
        <is>
          <t>West</t>
        </is>
      </c>
      <c r="E454" t="inlineStr">
        <is>
          <t>Technology</t>
        </is>
      </c>
      <c r="F454" t="inlineStr">
        <is>
          <t>Wireless Mouse</t>
        </is>
      </c>
      <c r="G454" t="inlineStr">
        <is>
          <t>Standard Class</t>
        </is>
      </c>
      <c r="H454" t="n">
        <v>7</v>
      </c>
      <c r="I454" s="11" t="n">
        <v>139.62</v>
      </c>
      <c r="J454" s="12" t="n">
        <v>0</v>
      </c>
      <c r="K454" s="11" t="n">
        <v>977.34</v>
      </c>
      <c r="L454" s="11" t="n">
        <v>344.06</v>
      </c>
      <c r="M454" s="12" t="n">
        <v>0.352</v>
      </c>
    </row>
    <row r="455">
      <c r="A455" t="inlineStr">
        <is>
          <t>ORD-11353</t>
        </is>
      </c>
      <c r="B455" s="10" t="inlineStr">
        <is>
          <t>2024-06-07</t>
        </is>
      </c>
      <c r="C455" t="inlineStr">
        <is>
          <t>Customer 77</t>
        </is>
      </c>
      <c r="D455" t="inlineStr">
        <is>
          <t>South</t>
        </is>
      </c>
      <c r="E455" t="inlineStr">
        <is>
          <t>Office Supplies</t>
        </is>
      </c>
      <c r="F455" t="inlineStr">
        <is>
          <t>Stapler</t>
        </is>
      </c>
      <c r="G455" t="inlineStr">
        <is>
          <t>Standard Class</t>
        </is>
      </c>
      <c r="H455" t="n">
        <v>1</v>
      </c>
      <c r="I455" s="11" t="n">
        <v>941.39</v>
      </c>
      <c r="J455" s="12" t="n">
        <v>0.1</v>
      </c>
      <c r="K455" s="11" t="n">
        <v>847.25</v>
      </c>
      <c r="L455" s="11" t="n">
        <v>128.79</v>
      </c>
      <c r="M455" s="12" t="n">
        <v>0.152</v>
      </c>
    </row>
    <row r="456">
      <c r="A456" t="inlineStr">
        <is>
          <t>ORD-10443</t>
        </is>
      </c>
      <c r="B456" s="10" t="inlineStr">
        <is>
          <t>2024-06-08</t>
        </is>
      </c>
      <c r="C456" t="inlineStr">
        <is>
          <t>Customer 118</t>
        </is>
      </c>
      <c r="D456" t="inlineStr">
        <is>
          <t>South</t>
        </is>
      </c>
      <c r="E456" t="inlineStr">
        <is>
          <t>Office Supplies</t>
        </is>
      </c>
      <c r="F456" t="inlineStr">
        <is>
          <t>Pens (Box)</t>
        </is>
      </c>
      <c r="G456" t="inlineStr">
        <is>
          <t>Standard Class</t>
        </is>
      </c>
      <c r="H456" t="n">
        <v>6</v>
      </c>
      <c r="I456" s="11" t="n">
        <v>598.415</v>
      </c>
      <c r="J456" s="12" t="n">
        <v>0</v>
      </c>
      <c r="K456" s="11" t="n">
        <v>5315.44</v>
      </c>
      <c r="L456" s="11" t="n">
        <v>658.67</v>
      </c>
      <c r="M456" s="12" t="n">
        <v>0.1239</v>
      </c>
    </row>
    <row r="457">
      <c r="A457" t="inlineStr">
        <is>
          <t>ORD-10154</t>
        </is>
      </c>
      <c r="B457" s="10" t="inlineStr">
        <is>
          <t>2024-06-08</t>
        </is>
      </c>
      <c r="C457" t="inlineStr">
        <is>
          <t>Customer 68</t>
        </is>
      </c>
      <c r="D457" t="inlineStr">
        <is>
          <t>South</t>
        </is>
      </c>
      <c r="E457" t="inlineStr">
        <is>
          <t>Technology</t>
        </is>
      </c>
      <c r="F457" t="inlineStr">
        <is>
          <t>Monitor</t>
        </is>
      </c>
      <c r="G457" t="inlineStr">
        <is>
          <t>Standard Class</t>
        </is>
      </c>
      <c r="H457" t="n">
        <v>4</v>
      </c>
      <c r="I457" s="11" t="n">
        <v>980.1900000000001</v>
      </c>
      <c r="J457" s="12" t="n">
        <v>0.15</v>
      </c>
      <c r="K457" s="11" t="n">
        <v>3332.65</v>
      </c>
      <c r="L457" s="11" t="n">
        <v>1142.14</v>
      </c>
      <c r="M457" s="12" t="n">
        <v>0.3427</v>
      </c>
    </row>
    <row r="458">
      <c r="A458" t="inlineStr">
        <is>
          <t>ORD-11580</t>
        </is>
      </c>
      <c r="B458" s="10" t="inlineStr">
        <is>
          <t>2024-06-08</t>
        </is>
      </c>
      <c r="C458" t="inlineStr">
        <is>
          <t>Customer 43</t>
        </is>
      </c>
      <c r="D458" t="inlineStr">
        <is>
          <t>East</t>
        </is>
      </c>
      <c r="E458" t="inlineStr">
        <is>
          <t>Technology</t>
        </is>
      </c>
      <c r="F458" t="inlineStr">
        <is>
          <t>Laptop</t>
        </is>
      </c>
      <c r="G458" t="inlineStr">
        <is>
          <t>Same Day</t>
        </is>
      </c>
      <c r="H458" t="n">
        <v>9</v>
      </c>
      <c r="I458" s="11" t="n">
        <v>951.63</v>
      </c>
      <c r="J458" s="12" t="n">
        <v>0</v>
      </c>
      <c r="K458" s="11" t="n">
        <v>8564.67</v>
      </c>
      <c r="L458" s="11" t="n">
        <v>2789.38</v>
      </c>
      <c r="M458" s="12" t="n">
        <v>0.3257</v>
      </c>
    </row>
    <row r="459">
      <c r="A459" t="inlineStr">
        <is>
          <t>ORD-10413</t>
        </is>
      </c>
      <c r="B459" s="10" t="inlineStr">
        <is>
          <t>2024-06-09</t>
        </is>
      </c>
      <c r="C459" t="inlineStr">
        <is>
          <t>Customer 118</t>
        </is>
      </c>
      <c r="D459" t="inlineStr">
        <is>
          <t>North</t>
        </is>
      </c>
      <c r="E459" t="inlineStr">
        <is>
          <t>Furniture</t>
        </is>
      </c>
      <c r="F459" t="inlineStr">
        <is>
          <t>Bookcase</t>
        </is>
      </c>
      <c r="G459" t="inlineStr">
        <is>
          <t>Second Class</t>
        </is>
      </c>
      <c r="H459" t="n">
        <v>2</v>
      </c>
      <c r="I459" s="11" t="n">
        <v>144.75</v>
      </c>
      <c r="J459" s="12" t="n">
        <v>0</v>
      </c>
      <c r="K459" s="11" t="n">
        <v>289.5</v>
      </c>
      <c r="L459" s="11" t="n">
        <v>80.13</v>
      </c>
      <c r="M459" s="12" t="n">
        <v>0.2768</v>
      </c>
    </row>
    <row r="460">
      <c r="A460" t="inlineStr">
        <is>
          <t>ORD-10089</t>
        </is>
      </c>
      <c r="B460" s="10" t="inlineStr">
        <is>
          <t>2024-06-09</t>
        </is>
      </c>
      <c r="C460" t="inlineStr">
        <is>
          <t>Customer 127</t>
        </is>
      </c>
      <c r="D460" t="inlineStr">
        <is>
          <t>North</t>
        </is>
      </c>
      <c r="E460" t="inlineStr">
        <is>
          <t>Office Supplies</t>
        </is>
      </c>
      <c r="F460" t="inlineStr">
        <is>
          <t>Pens (Box)</t>
        </is>
      </c>
      <c r="G460" t="inlineStr">
        <is>
          <t>Second Class</t>
        </is>
      </c>
      <c r="H460" t="n">
        <v>8</v>
      </c>
      <c r="I460" s="11" t="n">
        <v>716.28</v>
      </c>
      <c r="J460" s="12" t="n">
        <v>0</v>
      </c>
      <c r="K460" s="11" t="n">
        <v>5730.24</v>
      </c>
      <c r="L460" s="11" t="n">
        <v>1029.41</v>
      </c>
      <c r="M460" s="12" t="n">
        <v>0.1796</v>
      </c>
    </row>
    <row r="461">
      <c r="A461" t="inlineStr">
        <is>
          <t>ORD-11307</t>
        </is>
      </c>
      <c r="B461" s="10" t="inlineStr">
        <is>
          <t>2024-06-10</t>
        </is>
      </c>
      <c r="C461" t="inlineStr">
        <is>
          <t>Customer 56</t>
        </is>
      </c>
      <c r="D461" t="inlineStr">
        <is>
          <t>North</t>
        </is>
      </c>
      <c r="E461" t="inlineStr">
        <is>
          <t>Technology</t>
        </is>
      </c>
      <c r="F461" t="inlineStr">
        <is>
          <t>Laptop</t>
        </is>
      </c>
      <c r="G461" t="inlineStr">
        <is>
          <t>Second Class</t>
        </is>
      </c>
      <c r="H461" t="n">
        <v>6</v>
      </c>
      <c r="I461" s="11" t="n">
        <v>57.01</v>
      </c>
      <c r="J461" s="12" t="n">
        <v>0.15</v>
      </c>
      <c r="K461" s="11" t="n">
        <v>290.75</v>
      </c>
      <c r="L461" s="11" t="n">
        <v>65.06999999999999</v>
      </c>
      <c r="M461" s="12" t="n">
        <v>0.2238</v>
      </c>
    </row>
    <row r="462">
      <c r="A462" t="inlineStr">
        <is>
          <t>ORD-11626</t>
        </is>
      </c>
      <c r="B462" s="10" t="inlineStr">
        <is>
          <t>2024-06-11</t>
        </is>
      </c>
      <c r="C462" t="inlineStr">
        <is>
          <t>Customer 74</t>
        </is>
      </c>
      <c r="D462" t="inlineStr">
        <is>
          <t>North</t>
        </is>
      </c>
      <c r="E462" t="inlineStr">
        <is>
          <t>Furniture</t>
        </is>
      </c>
      <c r="F462" t="inlineStr">
        <is>
          <t>Table Lamp</t>
        </is>
      </c>
      <c r="G462" t="inlineStr">
        <is>
          <t>Standard Class</t>
        </is>
      </c>
      <c r="H462" t="n">
        <v>5</v>
      </c>
      <c r="I462" s="11" t="n">
        <v>749.63</v>
      </c>
      <c r="J462" s="12" t="n">
        <v>0</v>
      </c>
      <c r="K462" s="11" t="n">
        <v>3748.15</v>
      </c>
      <c r="L462" s="11" t="n">
        <v>1834.49</v>
      </c>
      <c r="M462" s="12" t="n">
        <v>0.4894</v>
      </c>
    </row>
    <row r="463">
      <c r="A463" t="inlineStr">
        <is>
          <t>ORD-11796</t>
        </is>
      </c>
      <c r="B463" s="10" t="inlineStr">
        <is>
          <t>2024-06-11</t>
        </is>
      </c>
      <c r="C463" t="inlineStr">
        <is>
          <t>Customer 164</t>
        </is>
      </c>
      <c r="D463" t="inlineStr">
        <is>
          <t>South</t>
        </is>
      </c>
      <c r="E463" t="inlineStr">
        <is>
          <t>Office Supplies</t>
        </is>
      </c>
      <c r="F463" t="inlineStr">
        <is>
          <t>Paper</t>
        </is>
      </c>
      <c r="G463" t="inlineStr">
        <is>
          <t>First Class</t>
        </is>
      </c>
      <c r="H463" t="n">
        <v>7</v>
      </c>
      <c r="I463" s="11" t="n">
        <v>455.6</v>
      </c>
      <c r="J463" s="12" t="n">
        <v>0</v>
      </c>
      <c r="K463" s="11" t="n">
        <v>3189.2</v>
      </c>
      <c r="L463" s="11" t="n">
        <v>1213.3</v>
      </c>
      <c r="M463" s="12" t="n">
        <v>0.3804</v>
      </c>
    </row>
    <row r="464">
      <c r="A464" t="inlineStr">
        <is>
          <t>ORD-11186</t>
        </is>
      </c>
      <c r="B464" s="10" t="inlineStr">
        <is>
          <t>2024-06-11</t>
        </is>
      </c>
      <c r="C464" t="inlineStr">
        <is>
          <t>Customer 153</t>
        </is>
      </c>
      <c r="D464" t="inlineStr">
        <is>
          <t>West</t>
        </is>
      </c>
      <c r="E464" t="inlineStr">
        <is>
          <t>Office Supplies</t>
        </is>
      </c>
      <c r="F464" t="inlineStr">
        <is>
          <t>Binder</t>
        </is>
      </c>
      <c r="G464" t="inlineStr">
        <is>
          <t>Same Day</t>
        </is>
      </c>
      <c r="H464" t="n">
        <v>2</v>
      </c>
      <c r="I464" s="11" t="n">
        <v>824.88</v>
      </c>
      <c r="J464" s="12" t="n">
        <v>0.1</v>
      </c>
      <c r="K464" s="11" t="n">
        <v>1484.78</v>
      </c>
      <c r="L464" s="11" t="n">
        <v>463.91</v>
      </c>
      <c r="M464" s="12" t="n">
        <v>0.3124</v>
      </c>
    </row>
    <row r="465">
      <c r="A465" t="inlineStr">
        <is>
          <t>ORD-11882</t>
        </is>
      </c>
      <c r="B465" s="10" t="inlineStr">
        <is>
          <t>2024-06-12</t>
        </is>
      </c>
      <c r="C465" t="inlineStr">
        <is>
          <t>Customer 50</t>
        </is>
      </c>
      <c r="D465" t="inlineStr">
        <is>
          <t>West</t>
        </is>
      </c>
      <c r="E465" t="inlineStr">
        <is>
          <t>Office Supplies</t>
        </is>
      </c>
      <c r="F465" t="inlineStr">
        <is>
          <t>Paper</t>
        </is>
      </c>
      <c r="G465" t="inlineStr">
        <is>
          <t>First Class</t>
        </is>
      </c>
      <c r="H465" t="n">
        <v>6</v>
      </c>
      <c r="I465" s="11" t="n">
        <v>675.5</v>
      </c>
      <c r="J465" s="12" t="n">
        <v>0</v>
      </c>
      <c r="K465" s="11" t="n">
        <v>4053</v>
      </c>
      <c r="L465" s="11" t="n">
        <v>1119.1</v>
      </c>
      <c r="M465" s="12" t="n">
        <v>0.2761</v>
      </c>
    </row>
    <row r="466">
      <c r="A466" t="inlineStr">
        <is>
          <t>ORD-11287</t>
        </is>
      </c>
      <c r="B466" s="10" t="inlineStr">
        <is>
          <t>2024-06-12</t>
        </is>
      </c>
      <c r="C466" t="inlineStr">
        <is>
          <t>Customer 67</t>
        </is>
      </c>
      <c r="D466" t="inlineStr">
        <is>
          <t>West</t>
        </is>
      </c>
      <c r="E466" t="inlineStr">
        <is>
          <t>Technology</t>
        </is>
      </c>
      <c r="F466" t="inlineStr">
        <is>
          <t>Laptop</t>
        </is>
      </c>
      <c r="G466" t="inlineStr">
        <is>
          <t>First Class</t>
        </is>
      </c>
      <c r="H466" t="n">
        <v>11</v>
      </c>
      <c r="I466" s="11" t="n">
        <v>788.35</v>
      </c>
      <c r="J466" s="12" t="n">
        <v>0.1</v>
      </c>
      <c r="K466" s="11" t="n">
        <v>7804.67</v>
      </c>
      <c r="L466" s="11" t="n">
        <v>908.03</v>
      </c>
      <c r="M466" s="12" t="n">
        <v>0.1163</v>
      </c>
    </row>
    <row r="467">
      <c r="A467" t="inlineStr">
        <is>
          <t>ORD-11506</t>
        </is>
      </c>
      <c r="B467" s="10" t="inlineStr">
        <is>
          <t>2024-06-13</t>
        </is>
      </c>
      <c r="C467" t="inlineStr">
        <is>
          <t>Customer 97</t>
        </is>
      </c>
      <c r="D467" t="inlineStr">
        <is>
          <t>North</t>
        </is>
      </c>
      <c r="E467" t="inlineStr">
        <is>
          <t>Technology</t>
        </is>
      </c>
      <c r="F467" t="inlineStr">
        <is>
          <t>Monitor</t>
        </is>
      </c>
      <c r="G467" t="inlineStr">
        <is>
          <t>Standard Class</t>
        </is>
      </c>
      <c r="H467" t="n">
        <v>4</v>
      </c>
      <c r="I467" s="11" t="n">
        <v>1039.87</v>
      </c>
      <c r="J467" s="12" t="n">
        <v>0.1</v>
      </c>
      <c r="K467" s="11" t="n">
        <v>3743.53</v>
      </c>
      <c r="L467" s="11" t="n">
        <v>537.33</v>
      </c>
      <c r="M467" s="12" t="n">
        <v>0.1435</v>
      </c>
    </row>
    <row r="468">
      <c r="A468" t="inlineStr">
        <is>
          <t>ORD-10943</t>
        </is>
      </c>
      <c r="B468" s="10" t="inlineStr">
        <is>
          <t>2024-06-15</t>
        </is>
      </c>
      <c r="C468" t="inlineStr">
        <is>
          <t>Customer 93</t>
        </is>
      </c>
      <c r="D468" t="inlineStr">
        <is>
          <t>West</t>
        </is>
      </c>
      <c r="E468" t="inlineStr">
        <is>
          <t>Furniture</t>
        </is>
      </c>
      <c r="F468" t="inlineStr">
        <is>
          <t>Bookcase</t>
        </is>
      </c>
      <c r="G468" t="inlineStr">
        <is>
          <t>Second Class</t>
        </is>
      </c>
      <c r="H468" t="n">
        <v>6</v>
      </c>
      <c r="I468" s="11" t="n">
        <v>140.55</v>
      </c>
      <c r="J468" s="12" t="n">
        <v>0</v>
      </c>
      <c r="K468" s="11" t="n">
        <v>843.3</v>
      </c>
      <c r="L468" s="11" t="n">
        <v>329.68</v>
      </c>
      <c r="M468" s="12" t="n">
        <v>0.3909</v>
      </c>
    </row>
    <row r="469">
      <c r="A469" t="inlineStr">
        <is>
          <t>ORD-11074</t>
        </is>
      </c>
      <c r="B469" s="10" t="inlineStr">
        <is>
          <t>2024-06-15</t>
        </is>
      </c>
      <c r="C469" t="inlineStr">
        <is>
          <t>Customer 59</t>
        </is>
      </c>
      <c r="D469" t="inlineStr">
        <is>
          <t>East</t>
        </is>
      </c>
      <c r="E469" t="inlineStr">
        <is>
          <t>Technology</t>
        </is>
      </c>
      <c r="F469" t="inlineStr">
        <is>
          <t>Monitor</t>
        </is>
      </c>
      <c r="G469" t="inlineStr">
        <is>
          <t>Same Day</t>
        </is>
      </c>
      <c r="H469" t="n">
        <v>9</v>
      </c>
      <c r="I469" s="11" t="n">
        <v>1192.19</v>
      </c>
      <c r="J469" s="12" t="n">
        <v>0</v>
      </c>
      <c r="K469" s="11" t="n">
        <v>10729.71</v>
      </c>
      <c r="L469" s="11" t="n">
        <v>1775.11</v>
      </c>
      <c r="M469" s="12" t="n">
        <v>0.1654</v>
      </c>
    </row>
    <row r="470">
      <c r="A470" t="inlineStr">
        <is>
          <t>ORD-10452</t>
        </is>
      </c>
      <c r="B470" s="10" t="inlineStr">
        <is>
          <t>2024-06-16</t>
        </is>
      </c>
      <c r="C470" t="inlineStr">
        <is>
          <t>Customer 128</t>
        </is>
      </c>
      <c r="D470" t="inlineStr">
        <is>
          <t>West</t>
        </is>
      </c>
      <c r="E470" t="inlineStr">
        <is>
          <t>Technology</t>
        </is>
      </c>
      <c r="F470" t="inlineStr">
        <is>
          <t>Monitor</t>
        </is>
      </c>
      <c r="G470" t="inlineStr">
        <is>
          <t>Standard Class</t>
        </is>
      </c>
      <c r="H470" t="n">
        <v>5</v>
      </c>
      <c r="I470" s="11" t="n">
        <v>1182.51</v>
      </c>
      <c r="J470" s="12" t="n">
        <v>0.1</v>
      </c>
      <c r="K470" s="11" t="n">
        <v>5321.3</v>
      </c>
      <c r="L470" s="11" t="n">
        <v>1086.58</v>
      </c>
      <c r="M470" s="12" t="n">
        <v>0.2042</v>
      </c>
    </row>
    <row r="471">
      <c r="A471" t="inlineStr">
        <is>
          <t>ORD-11660</t>
        </is>
      </c>
      <c r="B471" s="10" t="inlineStr">
        <is>
          <t>2024-06-16</t>
        </is>
      </c>
      <c r="C471" t="inlineStr">
        <is>
          <t>Customer 122</t>
        </is>
      </c>
      <c r="D471" t="inlineStr">
        <is>
          <t>East</t>
        </is>
      </c>
      <c r="E471" t="inlineStr">
        <is>
          <t>Technology</t>
        </is>
      </c>
      <c r="F471" t="inlineStr">
        <is>
          <t>Wireless Mouse</t>
        </is>
      </c>
      <c r="G471" t="inlineStr">
        <is>
          <t>Standard Class</t>
        </is>
      </c>
      <c r="H471" t="n">
        <v>10</v>
      </c>
      <c r="I471" s="11" t="n">
        <v>627.6</v>
      </c>
      <c r="J471" s="12" t="n">
        <v>0.15</v>
      </c>
      <c r="K471" s="11" t="n">
        <v>5334.6</v>
      </c>
      <c r="L471" s="11" t="n">
        <v>1367.63</v>
      </c>
      <c r="M471" s="12" t="n">
        <v>0.2564</v>
      </c>
    </row>
    <row r="472">
      <c r="A472" t="inlineStr">
        <is>
          <t>ORD-10270</t>
        </is>
      </c>
      <c r="B472" s="10" t="inlineStr">
        <is>
          <t>2024-06-17</t>
        </is>
      </c>
      <c r="C472" t="inlineStr">
        <is>
          <t>Customer 118</t>
        </is>
      </c>
      <c r="D472" t="inlineStr">
        <is>
          <t>North</t>
        </is>
      </c>
      <c r="E472" t="inlineStr">
        <is>
          <t>Furniture</t>
        </is>
      </c>
      <c r="F472" t="inlineStr">
        <is>
          <t>Table Lamp</t>
        </is>
      </c>
      <c r="G472" t="inlineStr">
        <is>
          <t>Same Day</t>
        </is>
      </c>
      <c r="H472" t="n">
        <v>2</v>
      </c>
      <c r="I472" s="11" t="n">
        <v>1087.42</v>
      </c>
      <c r="J472" s="12" t="n">
        <v>0</v>
      </c>
      <c r="K472" s="11" t="n">
        <v>2174.84</v>
      </c>
      <c r="L472" s="11" t="n">
        <v>511.89</v>
      </c>
      <c r="M472" s="12" t="n">
        <v>0.2354</v>
      </c>
    </row>
    <row r="473">
      <c r="A473" t="inlineStr">
        <is>
          <t>ORD-11121</t>
        </is>
      </c>
      <c r="B473" s="10" t="inlineStr">
        <is>
          <t>2024-06-17</t>
        </is>
      </c>
      <c r="C473" t="inlineStr">
        <is>
          <t>Customer 70</t>
        </is>
      </c>
      <c r="D473" t="inlineStr">
        <is>
          <t>South</t>
        </is>
      </c>
      <c r="E473" t="inlineStr">
        <is>
          <t>Technology</t>
        </is>
      </c>
      <c r="F473" t="inlineStr">
        <is>
          <t>Printer</t>
        </is>
      </c>
      <c r="G473" t="inlineStr">
        <is>
          <t>Second Class</t>
        </is>
      </c>
      <c r="H473" t="n">
        <v>5</v>
      </c>
      <c r="I473" s="11" t="n">
        <v>1134.27</v>
      </c>
      <c r="J473" s="12" t="n">
        <v>0</v>
      </c>
      <c r="K473" s="11" t="n">
        <v>5671.35</v>
      </c>
      <c r="L473" s="11" t="n">
        <v>2599.34</v>
      </c>
      <c r="M473" s="12" t="n">
        <v>0.4583</v>
      </c>
    </row>
    <row r="474">
      <c r="A474" t="inlineStr">
        <is>
          <t>ORD-10843</t>
        </is>
      </c>
      <c r="B474" s="10" t="inlineStr">
        <is>
          <t>2024-06-17</t>
        </is>
      </c>
      <c r="C474" t="inlineStr">
        <is>
          <t>Customer 39</t>
        </is>
      </c>
      <c r="D474" t="inlineStr">
        <is>
          <t>South</t>
        </is>
      </c>
      <c r="E474" t="inlineStr">
        <is>
          <t>Office Supplies</t>
        </is>
      </c>
      <c r="F474" t="inlineStr">
        <is>
          <t>Pens (Box)</t>
        </is>
      </c>
      <c r="G474" t="inlineStr">
        <is>
          <t>First Class</t>
        </is>
      </c>
      <c r="H474" t="n">
        <v>4</v>
      </c>
      <c r="I474" s="11" t="n">
        <v>158.15</v>
      </c>
      <c r="J474" s="12" t="n">
        <v>0.3</v>
      </c>
      <c r="K474" s="11" t="n">
        <v>442.82</v>
      </c>
      <c r="L474" s="11" t="n">
        <v>-23.32</v>
      </c>
      <c r="M474" s="12" t="n">
        <v>-0.0527</v>
      </c>
    </row>
    <row r="475">
      <c r="A475" t="inlineStr">
        <is>
          <t>ORD-10249</t>
        </is>
      </c>
      <c r="B475" s="10" t="inlineStr">
        <is>
          <t>2024-06-20</t>
        </is>
      </c>
      <c r="C475" t="inlineStr">
        <is>
          <t>Customer 68</t>
        </is>
      </c>
      <c r="D475" t="inlineStr">
        <is>
          <t>South</t>
        </is>
      </c>
      <c r="E475" t="inlineStr">
        <is>
          <t>Office Supplies</t>
        </is>
      </c>
      <c r="F475" t="inlineStr">
        <is>
          <t>Binder</t>
        </is>
      </c>
      <c r="G475" t="inlineStr">
        <is>
          <t>Second Class</t>
        </is>
      </c>
      <c r="H475" t="n">
        <v>10</v>
      </c>
      <c r="I475" s="11" t="n">
        <v>365.08</v>
      </c>
      <c r="J475" s="12" t="n">
        <v>0.1</v>
      </c>
      <c r="K475" s="11" t="n">
        <v>3285.72</v>
      </c>
      <c r="L475" s="11" t="n">
        <v>1029.89</v>
      </c>
      <c r="M475" s="12" t="n">
        <v>0.3134</v>
      </c>
    </row>
    <row r="476">
      <c r="A476" t="inlineStr">
        <is>
          <t>ORD-11356</t>
        </is>
      </c>
      <c r="B476" s="10" t="inlineStr">
        <is>
          <t>2024-06-20</t>
        </is>
      </c>
      <c r="C476" t="inlineStr">
        <is>
          <t>Customer 109</t>
        </is>
      </c>
      <c r="D476" t="inlineStr">
        <is>
          <t>South</t>
        </is>
      </c>
      <c r="E476" t="inlineStr">
        <is>
          <t>Office Supplies</t>
        </is>
      </c>
      <c r="F476" t="inlineStr">
        <is>
          <t>Binder</t>
        </is>
      </c>
      <c r="G476" t="inlineStr">
        <is>
          <t>Second Class</t>
        </is>
      </c>
      <c r="H476" t="n">
        <v>8</v>
      </c>
      <c r="I476" s="11" t="n">
        <v>445.4</v>
      </c>
      <c r="J476" s="12" t="n">
        <v>0</v>
      </c>
      <c r="K476" s="11" t="n">
        <v>3563.2</v>
      </c>
      <c r="L476" s="11" t="n">
        <v>1007.58</v>
      </c>
      <c r="M476" s="12" t="n">
        <v>0.2828</v>
      </c>
    </row>
    <row r="477">
      <c r="A477" t="inlineStr">
        <is>
          <t>ORD-10682</t>
        </is>
      </c>
      <c r="B477" s="10" t="inlineStr">
        <is>
          <t>2024-06-20</t>
        </is>
      </c>
      <c r="C477" t="inlineStr">
        <is>
          <t>Customer 140</t>
        </is>
      </c>
      <c r="D477" t="inlineStr">
        <is>
          <t>South</t>
        </is>
      </c>
      <c r="E477" t="inlineStr">
        <is>
          <t>Office Supplies</t>
        </is>
      </c>
      <c r="F477" t="inlineStr">
        <is>
          <t>Stapler</t>
        </is>
      </c>
      <c r="G477" t="inlineStr">
        <is>
          <t>First Class</t>
        </is>
      </c>
      <c r="H477" t="n">
        <v>10</v>
      </c>
      <c r="I477" s="11" t="n">
        <v>663.16</v>
      </c>
      <c r="J477" s="12" t="n">
        <v>0.1</v>
      </c>
      <c r="K477" s="11" t="n">
        <v>5968.44</v>
      </c>
      <c r="L477" s="11" t="n">
        <v>1916.58</v>
      </c>
      <c r="M477" s="12" t="n">
        <v>0.3211</v>
      </c>
    </row>
    <row r="478">
      <c r="A478" t="inlineStr">
        <is>
          <t>ORD-11172</t>
        </is>
      </c>
      <c r="B478" s="10" t="inlineStr">
        <is>
          <t>2024-06-21</t>
        </is>
      </c>
      <c r="C478" t="inlineStr">
        <is>
          <t>Customer 152</t>
        </is>
      </c>
      <c r="D478" t="inlineStr">
        <is>
          <t>South</t>
        </is>
      </c>
      <c r="E478" t="inlineStr">
        <is>
          <t>Office Supplies</t>
        </is>
      </c>
      <c r="F478" t="inlineStr">
        <is>
          <t>Binder</t>
        </is>
      </c>
      <c r="G478" t="inlineStr">
        <is>
          <t>Same Day</t>
        </is>
      </c>
      <c r="H478" t="n">
        <v>3</v>
      </c>
      <c r="I478" s="11" t="n">
        <v>332.06</v>
      </c>
      <c r="J478" s="12" t="n">
        <v>0</v>
      </c>
      <c r="K478" s="11" t="n">
        <v>996.1799999999999</v>
      </c>
      <c r="L478" s="11" t="n">
        <v>309.84</v>
      </c>
      <c r="M478" s="12" t="n">
        <v>0.311</v>
      </c>
    </row>
    <row r="479">
      <c r="A479" t="inlineStr">
        <is>
          <t>ORD-11574</t>
        </is>
      </c>
      <c r="B479" s="10" t="inlineStr">
        <is>
          <t>2024-06-21</t>
        </is>
      </c>
      <c r="C479" t="inlineStr">
        <is>
          <t>Customer 103</t>
        </is>
      </c>
      <c r="D479" t="inlineStr">
        <is>
          <t>West</t>
        </is>
      </c>
      <c r="E479" t="inlineStr">
        <is>
          <t>Technology</t>
        </is>
      </c>
      <c r="F479" t="inlineStr">
        <is>
          <t>Laptop</t>
        </is>
      </c>
      <c r="G479" t="inlineStr">
        <is>
          <t>Second Class</t>
        </is>
      </c>
      <c r="H479" t="n">
        <v>8</v>
      </c>
      <c r="I479" s="11" t="n">
        <v>235.81</v>
      </c>
      <c r="J479" s="12" t="n">
        <v>0</v>
      </c>
      <c r="K479" s="11" t="n">
        <v>1886.48</v>
      </c>
      <c r="L479" s="11" t="n">
        <v>356.53</v>
      </c>
      <c r="M479" s="12" t="n">
        <v>0.189</v>
      </c>
    </row>
    <row r="480">
      <c r="A480" t="inlineStr">
        <is>
          <t>ORD-11979</t>
        </is>
      </c>
      <c r="B480" s="10" t="inlineStr">
        <is>
          <t>2024-06-21</t>
        </is>
      </c>
      <c r="C480" t="inlineStr">
        <is>
          <t>Customer 146</t>
        </is>
      </c>
      <c r="D480" t="inlineStr">
        <is>
          <t>West</t>
        </is>
      </c>
      <c r="E480" t="inlineStr">
        <is>
          <t>Technology</t>
        </is>
      </c>
      <c r="F480" t="inlineStr">
        <is>
          <t>Wireless Mouse</t>
        </is>
      </c>
      <c r="G480" t="inlineStr">
        <is>
          <t>Standard Class</t>
        </is>
      </c>
      <c r="H480" t="n">
        <v>11</v>
      </c>
      <c r="I480" s="11" t="n">
        <v>1015.04</v>
      </c>
      <c r="J480" s="12" t="n">
        <v>0</v>
      </c>
      <c r="K480" s="11" t="n">
        <v>11165.44</v>
      </c>
      <c r="L480" s="11" t="n">
        <v>3184.23</v>
      </c>
      <c r="M480" s="12" t="n">
        <v>0.2852</v>
      </c>
    </row>
    <row r="481">
      <c r="A481" t="inlineStr">
        <is>
          <t>ORD-10668</t>
        </is>
      </c>
      <c r="B481" s="10" t="inlineStr">
        <is>
          <t>2024-06-21</t>
        </is>
      </c>
      <c r="C481" t="inlineStr">
        <is>
          <t>Customer 18</t>
        </is>
      </c>
      <c r="D481" t="inlineStr">
        <is>
          <t>North</t>
        </is>
      </c>
      <c r="E481" t="inlineStr">
        <is>
          <t>Office Supplies</t>
        </is>
      </c>
      <c r="F481" t="inlineStr">
        <is>
          <t>Pens (Box)</t>
        </is>
      </c>
      <c r="G481" t="inlineStr">
        <is>
          <t>Second Class</t>
        </is>
      </c>
      <c r="H481" t="n">
        <v>5</v>
      </c>
      <c r="I481" s="11" t="n">
        <v>359.18</v>
      </c>
      <c r="J481" s="12" t="n">
        <v>0</v>
      </c>
      <c r="K481" s="11" t="n">
        <v>1795.9</v>
      </c>
      <c r="L481" s="11" t="n">
        <v>872.26</v>
      </c>
      <c r="M481" s="12" t="n">
        <v>0.4857</v>
      </c>
    </row>
    <row r="482">
      <c r="A482" t="inlineStr">
        <is>
          <t>ORD-11968</t>
        </is>
      </c>
      <c r="B482" s="10" t="inlineStr">
        <is>
          <t>2024-06-21</t>
        </is>
      </c>
      <c r="C482" t="inlineStr">
        <is>
          <t>Customer 129</t>
        </is>
      </c>
      <c r="D482" t="inlineStr">
        <is>
          <t>East</t>
        </is>
      </c>
      <c r="E482" t="inlineStr">
        <is>
          <t>Furniture</t>
        </is>
      </c>
      <c r="F482" t="inlineStr">
        <is>
          <t>Desk</t>
        </is>
      </c>
      <c r="G482" t="inlineStr">
        <is>
          <t>Same Day</t>
        </is>
      </c>
      <c r="H482" t="n">
        <v>5</v>
      </c>
      <c r="I482" s="11" t="n">
        <v>1071.9</v>
      </c>
      <c r="J482" s="12" t="n">
        <v>0</v>
      </c>
      <c r="K482" s="11" t="n">
        <v>5359.5</v>
      </c>
      <c r="L482" s="11" t="n">
        <v>1352.15</v>
      </c>
      <c r="M482" s="12" t="n">
        <v>0.2523</v>
      </c>
    </row>
    <row r="483">
      <c r="A483" t="inlineStr">
        <is>
          <t>ORD-11565</t>
        </is>
      </c>
      <c r="B483" s="10" t="inlineStr">
        <is>
          <t>2024-06-22</t>
        </is>
      </c>
      <c r="C483" t="inlineStr">
        <is>
          <t>Customer 53</t>
        </is>
      </c>
      <c r="D483" t="inlineStr">
        <is>
          <t>South</t>
        </is>
      </c>
      <c r="E483" t="inlineStr">
        <is>
          <t>Technology</t>
        </is>
      </c>
      <c r="F483" t="inlineStr">
        <is>
          <t>Laptop</t>
        </is>
      </c>
      <c r="G483" t="inlineStr">
        <is>
          <t>Same Day</t>
        </is>
      </c>
      <c r="H483" t="n">
        <v>4</v>
      </c>
      <c r="I483" s="11" t="n">
        <v>949.59</v>
      </c>
      <c r="J483" s="12" t="n">
        <v>0</v>
      </c>
      <c r="K483" s="11" t="n">
        <v>3798.36</v>
      </c>
      <c r="L483" s="11" t="n">
        <v>973.21</v>
      </c>
      <c r="M483" s="12" t="n">
        <v>0.2562</v>
      </c>
    </row>
    <row r="484">
      <c r="A484" t="inlineStr">
        <is>
          <t>ORD-10851</t>
        </is>
      </c>
      <c r="B484" s="10" t="inlineStr">
        <is>
          <t>2024-06-22</t>
        </is>
      </c>
      <c r="C484" t="inlineStr">
        <is>
          <t>Customer 165</t>
        </is>
      </c>
      <c r="D484" t="inlineStr">
        <is>
          <t>South</t>
        </is>
      </c>
      <c r="E484" t="inlineStr">
        <is>
          <t>Technology</t>
        </is>
      </c>
      <c r="F484" t="inlineStr">
        <is>
          <t>Monitor</t>
        </is>
      </c>
      <c r="G484" t="inlineStr">
        <is>
          <t>First Class</t>
        </is>
      </c>
      <c r="H484" t="n">
        <v>9</v>
      </c>
      <c r="I484" s="11" t="n">
        <v>923.63</v>
      </c>
      <c r="J484" s="12" t="n">
        <v>0</v>
      </c>
      <c r="K484" s="11" t="n">
        <v>8312.67</v>
      </c>
      <c r="L484" s="11" t="n">
        <v>3272.86</v>
      </c>
      <c r="M484" s="12" t="n">
        <v>0.3937</v>
      </c>
    </row>
    <row r="485">
      <c r="A485" t="inlineStr">
        <is>
          <t>ORD-11336</t>
        </is>
      </c>
      <c r="B485" s="10" t="inlineStr">
        <is>
          <t>2024-06-22</t>
        </is>
      </c>
      <c r="C485" t="inlineStr">
        <is>
          <t>Customer 136</t>
        </is>
      </c>
      <c r="D485" t="inlineStr">
        <is>
          <t>South</t>
        </is>
      </c>
      <c r="E485" t="inlineStr">
        <is>
          <t>Furniture</t>
        </is>
      </c>
      <c r="F485" t="inlineStr">
        <is>
          <t>Table Lamp</t>
        </is>
      </c>
      <c r="G485" t="inlineStr">
        <is>
          <t>Second Class</t>
        </is>
      </c>
      <c r="H485" t="n">
        <v>1</v>
      </c>
      <c r="I485" s="11" t="n">
        <v>717.17</v>
      </c>
      <c r="J485" s="12" t="n">
        <v>0</v>
      </c>
      <c r="K485" s="11" t="n">
        <v>717.17</v>
      </c>
      <c r="L485" s="11" t="n">
        <v>118.05</v>
      </c>
      <c r="M485" s="12" t="n">
        <v>0.1646</v>
      </c>
    </row>
    <row r="486">
      <c r="A486" t="inlineStr">
        <is>
          <t>ORD-11912</t>
        </is>
      </c>
      <c r="B486" s="10" t="inlineStr">
        <is>
          <t>2024-06-23</t>
        </is>
      </c>
      <c r="C486" t="inlineStr">
        <is>
          <t>Customer 48</t>
        </is>
      </c>
      <c r="D486" t="inlineStr">
        <is>
          <t>West</t>
        </is>
      </c>
      <c r="E486" t="inlineStr">
        <is>
          <t>Technology</t>
        </is>
      </c>
      <c r="F486" t="inlineStr">
        <is>
          <t>Wireless Mouse</t>
        </is>
      </c>
      <c r="G486" t="inlineStr">
        <is>
          <t>Standard Class</t>
        </is>
      </c>
      <c r="H486" t="n">
        <v>8</v>
      </c>
      <c r="I486" s="11" t="n">
        <v>800.97</v>
      </c>
      <c r="J486" s="12" t="n">
        <v>0</v>
      </c>
      <c r="K486" s="11" t="n">
        <v>6407.76</v>
      </c>
      <c r="L486" s="11" t="n">
        <v>1603.13</v>
      </c>
      <c r="M486" s="12" t="n">
        <v>0.2502</v>
      </c>
    </row>
    <row r="487">
      <c r="A487" t="inlineStr">
        <is>
          <t>ORD-11354</t>
        </is>
      </c>
      <c r="B487" s="10" t="inlineStr">
        <is>
          <t>2024-06-23</t>
        </is>
      </c>
      <c r="C487" t="inlineStr">
        <is>
          <t>Customer 46</t>
        </is>
      </c>
      <c r="D487" t="inlineStr">
        <is>
          <t>West</t>
        </is>
      </c>
      <c r="E487" t="inlineStr">
        <is>
          <t>Technology</t>
        </is>
      </c>
      <c r="F487" t="inlineStr">
        <is>
          <t>Laptop</t>
        </is>
      </c>
      <c r="G487" t="inlineStr">
        <is>
          <t>Standard Class</t>
        </is>
      </c>
      <c r="H487" t="n">
        <v>7</v>
      </c>
      <c r="I487" s="11" t="n">
        <v>366.83</v>
      </c>
      <c r="J487" s="12" t="n">
        <v>0</v>
      </c>
      <c r="K487" s="11" t="n">
        <v>2567.81</v>
      </c>
      <c r="L487" s="11" t="n">
        <v>1126.59</v>
      </c>
      <c r="M487" s="12" t="n">
        <v>0.4387</v>
      </c>
    </row>
    <row r="488">
      <c r="A488" t="inlineStr">
        <is>
          <t>ORD-11741</t>
        </is>
      </c>
      <c r="B488" s="10" t="inlineStr">
        <is>
          <t>2024-06-23</t>
        </is>
      </c>
      <c r="C488" t="inlineStr">
        <is>
          <t>Customer 57</t>
        </is>
      </c>
      <c r="D488" t="inlineStr">
        <is>
          <t>East</t>
        </is>
      </c>
      <c r="E488" t="inlineStr">
        <is>
          <t>Furniture</t>
        </is>
      </c>
      <c r="F488" t="inlineStr">
        <is>
          <t>Chair</t>
        </is>
      </c>
      <c r="G488" t="inlineStr">
        <is>
          <t>First Class</t>
        </is>
      </c>
      <c r="H488" t="n">
        <v>1</v>
      </c>
      <c r="I488" s="11" t="n">
        <v>984.47</v>
      </c>
      <c r="J488" s="12" t="n">
        <v>0</v>
      </c>
      <c r="K488" s="11" t="n">
        <v>984.47</v>
      </c>
      <c r="L488" s="11" t="n">
        <v>165.88</v>
      </c>
      <c r="M488" s="12" t="n">
        <v>0.1685</v>
      </c>
    </row>
    <row r="489">
      <c r="A489" t="inlineStr">
        <is>
          <t>ORD-11978</t>
        </is>
      </c>
      <c r="B489" s="10" t="inlineStr">
        <is>
          <t>2024-06-24</t>
        </is>
      </c>
      <c r="C489" t="inlineStr">
        <is>
          <t>Customer 181</t>
        </is>
      </c>
      <c r="D489" t="inlineStr">
        <is>
          <t>West</t>
        </is>
      </c>
      <c r="E489" t="inlineStr">
        <is>
          <t>Technology</t>
        </is>
      </c>
      <c r="F489" t="inlineStr">
        <is>
          <t>Laptop</t>
        </is>
      </c>
      <c r="G489" t="inlineStr">
        <is>
          <t>Standard Class</t>
        </is>
      </c>
      <c r="H489" t="n">
        <v>6</v>
      </c>
      <c r="I489" s="11" t="n">
        <v>643.8200000000001</v>
      </c>
      <c r="J489" s="12" t="n">
        <v>0</v>
      </c>
      <c r="K489" s="11" t="n">
        <v>3605.39</v>
      </c>
      <c r="L489" s="11" t="n">
        <v>877.9299999999999</v>
      </c>
      <c r="M489" s="12" t="n">
        <v>0.2435</v>
      </c>
    </row>
    <row r="490">
      <c r="A490" t="inlineStr">
        <is>
          <t>ORD-10213</t>
        </is>
      </c>
      <c r="B490" s="10" t="inlineStr">
        <is>
          <t>2024-06-24</t>
        </is>
      </c>
      <c r="C490" t="inlineStr">
        <is>
          <t>Customer 6</t>
        </is>
      </c>
      <c r="D490" t="inlineStr">
        <is>
          <t>West</t>
        </is>
      </c>
      <c r="E490" t="inlineStr">
        <is>
          <t>Technology</t>
        </is>
      </c>
      <c r="F490" t="inlineStr">
        <is>
          <t>Printer</t>
        </is>
      </c>
      <c r="G490" t="inlineStr">
        <is>
          <t>First Class</t>
        </is>
      </c>
      <c r="H490" t="n">
        <v>6</v>
      </c>
      <c r="I490" s="11" t="n">
        <v>509.01</v>
      </c>
      <c r="J490" s="12" t="n">
        <v>0</v>
      </c>
      <c r="K490" s="11" t="n">
        <v>3054.06</v>
      </c>
      <c r="L490" s="11" t="n">
        <v>893.21</v>
      </c>
      <c r="M490" s="12" t="n">
        <v>0.2925</v>
      </c>
    </row>
    <row r="491">
      <c r="A491" t="inlineStr">
        <is>
          <t>ORD-11760</t>
        </is>
      </c>
      <c r="B491" s="10" t="inlineStr">
        <is>
          <t>2024-06-25</t>
        </is>
      </c>
      <c r="C491" t="inlineStr">
        <is>
          <t>Customer 186</t>
        </is>
      </c>
      <c r="D491" t="inlineStr">
        <is>
          <t>South</t>
        </is>
      </c>
      <c r="E491" t="inlineStr">
        <is>
          <t>Furniture</t>
        </is>
      </c>
      <c r="F491" t="inlineStr">
        <is>
          <t>Chair</t>
        </is>
      </c>
      <c r="G491" t="inlineStr">
        <is>
          <t>Same Day</t>
        </is>
      </c>
      <c r="H491" t="n">
        <v>3</v>
      </c>
      <c r="I491" s="11" t="n">
        <v>601.11</v>
      </c>
      <c r="J491" s="12" t="n">
        <v>0</v>
      </c>
      <c r="K491" s="11" t="n">
        <v>1803.33</v>
      </c>
      <c r="L491" s="11" t="n">
        <v>403.15</v>
      </c>
      <c r="M491" s="12" t="n">
        <v>0.2236</v>
      </c>
    </row>
    <row r="492">
      <c r="A492" t="inlineStr">
        <is>
          <t>ORD-11970</t>
        </is>
      </c>
      <c r="B492" s="10" t="inlineStr">
        <is>
          <t>2024-06-25</t>
        </is>
      </c>
      <c r="C492" t="inlineStr">
        <is>
          <t>Customer 153</t>
        </is>
      </c>
      <c r="D492" t="inlineStr">
        <is>
          <t>West</t>
        </is>
      </c>
      <c r="E492" t="inlineStr">
        <is>
          <t>Technology</t>
        </is>
      </c>
      <c r="F492" t="inlineStr">
        <is>
          <t>Monitor</t>
        </is>
      </c>
      <c r="G492" t="inlineStr">
        <is>
          <t>Standard Class</t>
        </is>
      </c>
      <c r="H492" t="n">
        <v>1</v>
      </c>
      <c r="I492" s="11" t="n">
        <v>871.38</v>
      </c>
      <c r="J492" s="12" t="n">
        <v>0.1</v>
      </c>
      <c r="K492" s="11" t="n">
        <v>784.24</v>
      </c>
      <c r="L492" s="11" t="n">
        <v>57.51</v>
      </c>
      <c r="M492" s="12" t="n">
        <v>0.0733</v>
      </c>
    </row>
    <row r="493">
      <c r="A493" t="inlineStr">
        <is>
          <t>ORD-10081</t>
        </is>
      </c>
      <c r="B493" s="10" t="inlineStr">
        <is>
          <t>2024-06-25</t>
        </is>
      </c>
      <c r="C493" t="inlineStr">
        <is>
          <t>Customer 166</t>
        </is>
      </c>
      <c r="D493" t="inlineStr">
        <is>
          <t>West</t>
        </is>
      </c>
      <c r="E493" t="inlineStr">
        <is>
          <t>Office Supplies</t>
        </is>
      </c>
      <c r="F493" t="inlineStr">
        <is>
          <t>Pens (Box)</t>
        </is>
      </c>
      <c r="G493" t="inlineStr">
        <is>
          <t>Standard Class</t>
        </is>
      </c>
      <c r="H493" t="n">
        <v>6</v>
      </c>
      <c r="I493" s="11" t="n">
        <v>1182.72</v>
      </c>
      <c r="J493" s="12" t="n">
        <v>0</v>
      </c>
      <c r="K493" s="11" t="n">
        <v>7096.32</v>
      </c>
      <c r="L493" s="11" t="n">
        <v>1119.3</v>
      </c>
      <c r="M493" s="12" t="n">
        <v>0.1577</v>
      </c>
    </row>
    <row r="494">
      <c r="A494" t="inlineStr">
        <is>
          <t>ORD-11228</t>
        </is>
      </c>
      <c r="B494" s="10" t="inlineStr">
        <is>
          <t>2024-06-26</t>
        </is>
      </c>
      <c r="C494" t="inlineStr">
        <is>
          <t>Customer 170</t>
        </is>
      </c>
      <c r="D494" t="inlineStr">
        <is>
          <t>North</t>
        </is>
      </c>
      <c r="E494" t="inlineStr">
        <is>
          <t>Office Supplies</t>
        </is>
      </c>
      <c r="F494" t="inlineStr">
        <is>
          <t>Paper</t>
        </is>
      </c>
      <c r="G494" t="inlineStr">
        <is>
          <t>First Class</t>
        </is>
      </c>
      <c r="H494" t="n">
        <v>9</v>
      </c>
      <c r="I494" s="11" t="n">
        <v>1174.25</v>
      </c>
      <c r="J494" s="12" t="n">
        <v>0.3</v>
      </c>
      <c r="K494" s="11" t="n">
        <v>7397.77</v>
      </c>
      <c r="L494" s="11" t="n">
        <v>1335.05</v>
      </c>
      <c r="M494" s="12" t="n">
        <v>0.1805</v>
      </c>
    </row>
    <row r="495">
      <c r="A495" t="inlineStr">
        <is>
          <t>ORD-11655</t>
        </is>
      </c>
      <c r="B495" s="10" t="inlineStr">
        <is>
          <t>2024-06-26</t>
        </is>
      </c>
      <c r="C495" t="inlineStr">
        <is>
          <t>Customer 19</t>
        </is>
      </c>
      <c r="D495" t="inlineStr">
        <is>
          <t>West</t>
        </is>
      </c>
      <c r="E495" t="inlineStr">
        <is>
          <t>Technology</t>
        </is>
      </c>
      <c r="F495" t="inlineStr">
        <is>
          <t>Laptop</t>
        </is>
      </c>
      <c r="G495" t="inlineStr">
        <is>
          <t>Standard Class</t>
        </is>
      </c>
      <c r="H495" t="n">
        <v>7</v>
      </c>
      <c r="I495" s="11" t="n">
        <v>870.87</v>
      </c>
      <c r="J495" s="12" t="n">
        <v>0.15</v>
      </c>
      <c r="K495" s="11" t="n">
        <v>5181.68</v>
      </c>
      <c r="L495" s="11" t="n">
        <v>1551.27</v>
      </c>
      <c r="M495" s="12" t="n">
        <v>0.2994</v>
      </c>
    </row>
    <row r="496">
      <c r="A496" t="inlineStr">
        <is>
          <t>ORD-10748</t>
        </is>
      </c>
      <c r="B496" s="10" t="inlineStr">
        <is>
          <t>2024-06-26</t>
        </is>
      </c>
      <c r="C496" t="inlineStr">
        <is>
          <t>Customer 125</t>
        </is>
      </c>
      <c r="D496" t="inlineStr">
        <is>
          <t>West</t>
        </is>
      </c>
      <c r="E496" t="inlineStr">
        <is>
          <t>Technology</t>
        </is>
      </c>
      <c r="F496" t="inlineStr">
        <is>
          <t>Wireless Mouse</t>
        </is>
      </c>
      <c r="G496" t="inlineStr">
        <is>
          <t>Standard Class</t>
        </is>
      </c>
      <c r="H496" t="n">
        <v>6</v>
      </c>
      <c r="I496" s="11" t="n">
        <v>436.28</v>
      </c>
      <c r="J496" s="12" t="n">
        <v>0.1</v>
      </c>
      <c r="K496" s="11" t="n">
        <v>2355.91</v>
      </c>
      <c r="L496" s="11" t="n">
        <v>901.63</v>
      </c>
      <c r="M496" s="12" t="n">
        <v>0.3827</v>
      </c>
    </row>
    <row r="497">
      <c r="A497" t="inlineStr">
        <is>
          <t>ORD-11489</t>
        </is>
      </c>
      <c r="B497" s="10" t="inlineStr">
        <is>
          <t>2024-06-26</t>
        </is>
      </c>
      <c r="C497" t="inlineStr">
        <is>
          <t>Customer 139</t>
        </is>
      </c>
      <c r="D497" t="inlineStr">
        <is>
          <t>South</t>
        </is>
      </c>
      <c r="E497" t="inlineStr">
        <is>
          <t>Office Supplies</t>
        </is>
      </c>
      <c r="F497" t="inlineStr">
        <is>
          <t>Binder</t>
        </is>
      </c>
      <c r="G497" t="inlineStr">
        <is>
          <t>Same Day</t>
        </is>
      </c>
      <c r="H497" t="n">
        <v>6</v>
      </c>
      <c r="I497" s="11" t="n">
        <v>934.3200000000001</v>
      </c>
      <c r="J497" s="12" t="n">
        <v>0</v>
      </c>
      <c r="K497" s="11" t="n">
        <v>5605.92</v>
      </c>
      <c r="L497" s="11" t="n">
        <v>2571.02</v>
      </c>
      <c r="M497" s="12" t="n">
        <v>0.4586</v>
      </c>
    </row>
    <row r="498">
      <c r="A498" t="inlineStr">
        <is>
          <t>ORD-10483</t>
        </is>
      </c>
      <c r="B498" s="10" t="inlineStr">
        <is>
          <t>2024-06-26</t>
        </is>
      </c>
      <c r="C498" t="inlineStr">
        <is>
          <t>Customer 141</t>
        </is>
      </c>
      <c r="D498" t="inlineStr">
        <is>
          <t>West</t>
        </is>
      </c>
      <c r="E498" t="inlineStr">
        <is>
          <t>Furniture</t>
        </is>
      </c>
      <c r="F498" t="inlineStr">
        <is>
          <t>Bookcase</t>
        </is>
      </c>
      <c r="G498" t="inlineStr">
        <is>
          <t>First Class</t>
        </is>
      </c>
      <c r="H498" t="n">
        <v>2</v>
      </c>
      <c r="I498" s="11" t="n">
        <v>163.39</v>
      </c>
      <c r="J498" s="12" t="n">
        <v>0.3</v>
      </c>
      <c r="K498" s="11" t="n">
        <v>228.75</v>
      </c>
      <c r="L498" s="11" t="n">
        <v>32.78</v>
      </c>
      <c r="M498" s="12" t="n">
        <v>0.1433</v>
      </c>
    </row>
    <row r="499">
      <c r="A499" t="inlineStr">
        <is>
          <t>ORD-11570</t>
        </is>
      </c>
      <c r="B499" s="10" t="inlineStr">
        <is>
          <t>2024-06-27</t>
        </is>
      </c>
      <c r="C499" t="inlineStr">
        <is>
          <t>Customer 43</t>
        </is>
      </c>
      <c r="D499" t="inlineStr">
        <is>
          <t>East</t>
        </is>
      </c>
      <c r="E499" t="inlineStr">
        <is>
          <t>Office Supplies</t>
        </is>
      </c>
      <c r="F499" t="inlineStr">
        <is>
          <t>Pens (Box)</t>
        </is>
      </c>
      <c r="G499" t="inlineStr">
        <is>
          <t>Same Day</t>
        </is>
      </c>
      <c r="H499" t="n">
        <v>9</v>
      </c>
      <c r="I499" s="11" t="n">
        <v>689.71</v>
      </c>
      <c r="J499" s="12" t="n">
        <v>0</v>
      </c>
      <c r="K499" s="11" t="n">
        <v>6207.39</v>
      </c>
      <c r="L499" s="11" t="n">
        <v>1910.71</v>
      </c>
      <c r="M499" s="12" t="n">
        <v>0.3078</v>
      </c>
    </row>
    <row r="500">
      <c r="A500" t="inlineStr">
        <is>
          <t>ORD-10434</t>
        </is>
      </c>
      <c r="B500" s="10" t="inlineStr">
        <is>
          <t>2024-06-27</t>
        </is>
      </c>
      <c r="C500" t="inlineStr">
        <is>
          <t>Customer 168</t>
        </is>
      </c>
      <c r="D500" t="inlineStr">
        <is>
          <t>North</t>
        </is>
      </c>
      <c r="E500" t="inlineStr">
        <is>
          <t>Furniture</t>
        </is>
      </c>
      <c r="F500" t="inlineStr">
        <is>
          <t>Chair</t>
        </is>
      </c>
      <c r="G500" t="inlineStr">
        <is>
          <t>Same Day</t>
        </is>
      </c>
      <c r="H500" t="n">
        <v>10</v>
      </c>
      <c r="I500" s="11" t="n">
        <v>1026</v>
      </c>
      <c r="J500" s="12" t="n">
        <v>0</v>
      </c>
      <c r="K500" s="11" t="n">
        <v>10260</v>
      </c>
      <c r="L500" s="11" t="n">
        <v>2584.48</v>
      </c>
      <c r="M500" s="12" t="n">
        <v>0.2519</v>
      </c>
    </row>
    <row r="501">
      <c r="A501" t="inlineStr">
        <is>
          <t>ORD-10009</t>
        </is>
      </c>
      <c r="B501" s="10" t="inlineStr">
        <is>
          <t>2024-06-27</t>
        </is>
      </c>
      <c r="C501" t="inlineStr">
        <is>
          <t>Customer 88</t>
        </is>
      </c>
      <c r="D501" t="inlineStr">
        <is>
          <t>South</t>
        </is>
      </c>
      <c r="E501" t="inlineStr">
        <is>
          <t>Furniture</t>
        </is>
      </c>
      <c r="F501" t="inlineStr">
        <is>
          <t>Desk</t>
        </is>
      </c>
      <c r="G501" t="inlineStr">
        <is>
          <t>First Class</t>
        </is>
      </c>
      <c r="H501" t="n">
        <v>7</v>
      </c>
      <c r="I501" s="11" t="n">
        <v>134.75</v>
      </c>
      <c r="J501" s="12" t="n">
        <v>0.1</v>
      </c>
      <c r="K501" s="11" t="n">
        <v>848.9299999999999</v>
      </c>
      <c r="L501" s="11" t="n">
        <v>284.46</v>
      </c>
      <c r="M501" s="12" t="n">
        <v>0.3351</v>
      </c>
    </row>
    <row r="502">
      <c r="A502" t="inlineStr">
        <is>
          <t>ORD-11402</t>
        </is>
      </c>
      <c r="B502" s="10" t="inlineStr">
        <is>
          <t>2024-06-28</t>
        </is>
      </c>
      <c r="C502" t="inlineStr">
        <is>
          <t>Customer 149</t>
        </is>
      </c>
      <c r="D502" t="inlineStr">
        <is>
          <t>West</t>
        </is>
      </c>
      <c r="E502" t="inlineStr">
        <is>
          <t>Office Supplies</t>
        </is>
      </c>
      <c r="F502" t="inlineStr">
        <is>
          <t>Binder</t>
        </is>
      </c>
      <c r="G502" t="inlineStr">
        <is>
          <t>Standard Class</t>
        </is>
      </c>
      <c r="H502" t="n">
        <v>3</v>
      </c>
      <c r="I502" s="11" t="n">
        <v>895.4400000000001</v>
      </c>
      <c r="J502" s="12" t="n">
        <v>0.2</v>
      </c>
      <c r="K502" s="11" t="n">
        <v>2149.06</v>
      </c>
      <c r="L502" s="11" t="n">
        <v>447.86</v>
      </c>
      <c r="M502" s="12" t="n">
        <v>0.2084</v>
      </c>
    </row>
    <row r="503">
      <c r="A503" t="inlineStr">
        <is>
          <t>ORD-11868</t>
        </is>
      </c>
      <c r="B503" s="10" t="inlineStr">
        <is>
          <t>2024-06-28</t>
        </is>
      </c>
      <c r="C503" t="inlineStr">
        <is>
          <t>Customer 81</t>
        </is>
      </c>
      <c r="D503" t="inlineStr">
        <is>
          <t>West</t>
        </is>
      </c>
      <c r="E503" t="inlineStr">
        <is>
          <t>Technology</t>
        </is>
      </c>
      <c r="F503" t="inlineStr">
        <is>
          <t>Printer</t>
        </is>
      </c>
      <c r="G503" t="inlineStr">
        <is>
          <t>Standard Class</t>
        </is>
      </c>
      <c r="H503" t="n">
        <v>8</v>
      </c>
      <c r="I503" s="11" t="n">
        <v>1163.87</v>
      </c>
      <c r="J503" s="12" t="n">
        <v>0.1</v>
      </c>
      <c r="K503" s="11" t="n">
        <v>8379.860000000001</v>
      </c>
      <c r="L503" s="11" t="n">
        <v>1528.27</v>
      </c>
      <c r="M503" s="12" t="n">
        <v>0.1824</v>
      </c>
    </row>
    <row r="504">
      <c r="A504" t="inlineStr">
        <is>
          <t>ORD-11868</t>
        </is>
      </c>
      <c r="B504" s="10" t="inlineStr">
        <is>
          <t>2024-06-28</t>
        </is>
      </c>
      <c r="C504" t="inlineStr">
        <is>
          <t>Customer 81</t>
        </is>
      </c>
      <c r="D504" t="inlineStr">
        <is>
          <t>West</t>
        </is>
      </c>
      <c r="E504" t="inlineStr">
        <is>
          <t>Technology</t>
        </is>
      </c>
      <c r="F504" t="inlineStr">
        <is>
          <t>Printer</t>
        </is>
      </c>
      <c r="G504" t="inlineStr">
        <is>
          <t>Standard Class</t>
        </is>
      </c>
      <c r="H504" t="n">
        <v>8</v>
      </c>
      <c r="I504" s="11" t="n">
        <v>1163.87</v>
      </c>
      <c r="J504" s="12" t="n">
        <v>0.1</v>
      </c>
      <c r="K504" s="11" t="n">
        <v>8379.860000000001</v>
      </c>
      <c r="L504" s="11" t="n">
        <v>1528.27</v>
      </c>
      <c r="M504" s="12" t="n">
        <v>0.1824</v>
      </c>
    </row>
    <row r="505">
      <c r="A505" t="inlineStr">
        <is>
          <t>ORD-10982</t>
        </is>
      </c>
      <c r="B505" s="10" t="inlineStr">
        <is>
          <t>2024-06-29</t>
        </is>
      </c>
      <c r="C505" t="inlineStr">
        <is>
          <t>Customer 183</t>
        </is>
      </c>
      <c r="D505" t="inlineStr">
        <is>
          <t>South</t>
        </is>
      </c>
      <c r="E505" t="inlineStr">
        <is>
          <t>Furniture</t>
        </is>
      </c>
      <c r="F505" t="inlineStr">
        <is>
          <t>Desk</t>
        </is>
      </c>
      <c r="G505" t="inlineStr">
        <is>
          <t>Same Day</t>
        </is>
      </c>
      <c r="H505" t="n">
        <v>6</v>
      </c>
      <c r="I505" s="11" t="n">
        <v>420.47</v>
      </c>
      <c r="J505" s="12" t="n">
        <v>0.1</v>
      </c>
      <c r="K505" s="11" t="n">
        <v>2270.54</v>
      </c>
      <c r="L505" s="11" t="n">
        <v>598.3200000000001</v>
      </c>
      <c r="M505" s="12" t="n">
        <v>0.2635</v>
      </c>
    </row>
    <row r="506">
      <c r="A506" t="inlineStr">
        <is>
          <t>ORD-10507</t>
        </is>
      </c>
      <c r="B506" s="10" t="inlineStr">
        <is>
          <t>2024-06-29</t>
        </is>
      </c>
      <c r="C506" t="inlineStr">
        <is>
          <t>Customer 134</t>
        </is>
      </c>
      <c r="D506" t="inlineStr">
        <is>
          <t>East</t>
        </is>
      </c>
      <c r="E506" t="inlineStr">
        <is>
          <t>Furniture</t>
        </is>
      </c>
      <c r="F506" t="inlineStr">
        <is>
          <t>Table Lamp</t>
        </is>
      </c>
      <c r="G506" t="inlineStr">
        <is>
          <t>Same Day</t>
        </is>
      </c>
      <c r="H506" t="n">
        <v>2</v>
      </c>
      <c r="I506" s="11" t="n">
        <v>839.87</v>
      </c>
      <c r="J506" s="12" t="n">
        <v>0.3</v>
      </c>
      <c r="K506" s="11" t="n">
        <v>1175.82</v>
      </c>
      <c r="L506" s="11" t="n">
        <v>319.29</v>
      </c>
      <c r="M506" s="12" t="n">
        <v>0.2715</v>
      </c>
    </row>
    <row r="507">
      <c r="A507" t="inlineStr">
        <is>
          <t>ORD-11058</t>
        </is>
      </c>
      <c r="B507" s="10" t="inlineStr">
        <is>
          <t>2024-06-30</t>
        </is>
      </c>
      <c r="C507" t="inlineStr">
        <is>
          <t>Customer 19</t>
        </is>
      </c>
      <c r="D507" t="inlineStr">
        <is>
          <t>West</t>
        </is>
      </c>
      <c r="E507" t="inlineStr">
        <is>
          <t>Office Supplies</t>
        </is>
      </c>
      <c r="F507" t="inlineStr">
        <is>
          <t>Binder</t>
        </is>
      </c>
      <c r="G507" t="inlineStr">
        <is>
          <t>Same Day</t>
        </is>
      </c>
      <c r="H507" t="n">
        <v>8</v>
      </c>
      <c r="I507" s="11" t="n">
        <v>1141.71</v>
      </c>
      <c r="J507" s="12" t="n">
        <v>0</v>
      </c>
      <c r="K507" s="11" t="n">
        <v>9133.68</v>
      </c>
      <c r="L507" s="11" t="n">
        <v>4480.08</v>
      </c>
      <c r="M507" s="12" t="n">
        <v>0.4905</v>
      </c>
    </row>
    <row r="508">
      <c r="A508" t="inlineStr">
        <is>
          <t>ORD-10105</t>
        </is>
      </c>
      <c r="B508" s="10" t="inlineStr">
        <is>
          <t>2024-06-30</t>
        </is>
      </c>
      <c r="C508" t="inlineStr">
        <is>
          <t>Customer 180</t>
        </is>
      </c>
      <c r="D508" t="inlineStr">
        <is>
          <t>East</t>
        </is>
      </c>
      <c r="E508" t="inlineStr">
        <is>
          <t>Technology</t>
        </is>
      </c>
      <c r="F508" t="inlineStr">
        <is>
          <t>Monitor</t>
        </is>
      </c>
      <c r="G508" t="inlineStr">
        <is>
          <t>First Class</t>
        </is>
      </c>
      <c r="H508" t="n">
        <v>2</v>
      </c>
      <c r="I508" s="11" t="n">
        <v>928.66</v>
      </c>
      <c r="J508" s="12" t="n">
        <v>0.15</v>
      </c>
      <c r="K508" s="11" t="n">
        <v>1578.72</v>
      </c>
      <c r="L508" s="11" t="n">
        <v>484.77</v>
      </c>
      <c r="M508" s="12" t="n">
        <v>0.3071</v>
      </c>
    </row>
    <row r="509">
      <c r="A509" t="inlineStr">
        <is>
          <t>ORD-10449</t>
        </is>
      </c>
      <c r="B509" s="10" t="inlineStr">
        <is>
          <t>2024-06-30</t>
        </is>
      </c>
      <c r="C509" t="inlineStr">
        <is>
          <t>Customer 140</t>
        </is>
      </c>
      <c r="D509" t="inlineStr">
        <is>
          <t>South</t>
        </is>
      </c>
      <c r="E509" t="inlineStr">
        <is>
          <t>Office Supplies</t>
        </is>
      </c>
      <c r="F509" t="inlineStr">
        <is>
          <t>Binder</t>
        </is>
      </c>
      <c r="G509" t="inlineStr">
        <is>
          <t>First Class</t>
        </is>
      </c>
      <c r="H509" t="n">
        <v>8</v>
      </c>
      <c r="I509" s="11" t="n">
        <v>337.93</v>
      </c>
      <c r="J509" s="12" t="n">
        <v>0.1</v>
      </c>
      <c r="K509" s="11" t="n">
        <v>2433.1</v>
      </c>
      <c r="L509" s="11" t="n">
        <v>184.24</v>
      </c>
      <c r="M509" s="12" t="n">
        <v>0.0757</v>
      </c>
    </row>
    <row r="510">
      <c r="A510" t="inlineStr">
        <is>
          <t>ORD-10449</t>
        </is>
      </c>
      <c r="B510" s="10" t="inlineStr">
        <is>
          <t>2024-06-30</t>
        </is>
      </c>
      <c r="C510" t="inlineStr">
        <is>
          <t>Customer 140</t>
        </is>
      </c>
      <c r="D510" t="inlineStr">
        <is>
          <t>South</t>
        </is>
      </c>
      <c r="E510" t="inlineStr">
        <is>
          <t>Office Supplies</t>
        </is>
      </c>
      <c r="F510" t="inlineStr">
        <is>
          <t>Binder</t>
        </is>
      </c>
      <c r="G510" t="inlineStr">
        <is>
          <t>First Class</t>
        </is>
      </c>
      <c r="H510" t="n">
        <v>8</v>
      </c>
      <c r="I510" s="11" t="n">
        <v>337.93</v>
      </c>
      <c r="J510" s="12" t="n">
        <v>0.1</v>
      </c>
      <c r="K510" s="11" t="n">
        <v>2433.1</v>
      </c>
      <c r="L510" s="11" t="n">
        <v>184.24</v>
      </c>
      <c r="M510" s="12" t="n">
        <v>0.0757</v>
      </c>
    </row>
    <row r="511">
      <c r="A511" t="inlineStr">
        <is>
          <t>ORD-11939</t>
        </is>
      </c>
      <c r="B511" s="10" t="inlineStr">
        <is>
          <t>2024-06-30</t>
        </is>
      </c>
      <c r="C511" t="inlineStr">
        <is>
          <t>Customer 67</t>
        </is>
      </c>
      <c r="D511" t="inlineStr">
        <is>
          <t>West</t>
        </is>
      </c>
      <c r="E511" t="inlineStr">
        <is>
          <t>Office Supplies</t>
        </is>
      </c>
      <c r="F511" t="inlineStr">
        <is>
          <t>Pens (Box)</t>
        </is>
      </c>
      <c r="G511" t="inlineStr">
        <is>
          <t>Second Class</t>
        </is>
      </c>
      <c r="H511" t="n">
        <v>9</v>
      </c>
      <c r="I511" s="11" t="n">
        <v>650.2</v>
      </c>
      <c r="J511" s="12" t="n">
        <v>0</v>
      </c>
      <c r="K511" s="11" t="n">
        <v>5851.8</v>
      </c>
      <c r="L511" s="11" t="n">
        <v>1453.52</v>
      </c>
      <c r="M511" s="12" t="n">
        <v>0.2484</v>
      </c>
    </row>
    <row r="512">
      <c r="A512" t="inlineStr">
        <is>
          <t>ORD-11560</t>
        </is>
      </c>
      <c r="B512" s="10" t="inlineStr">
        <is>
          <t>2024-07-01</t>
        </is>
      </c>
      <c r="C512" t="inlineStr">
        <is>
          <t>Customer 99</t>
        </is>
      </c>
      <c r="D512" t="inlineStr">
        <is>
          <t>East</t>
        </is>
      </c>
      <c r="E512" t="inlineStr">
        <is>
          <t>Office Supplies</t>
        </is>
      </c>
      <c r="F512" t="inlineStr">
        <is>
          <t>Pens (Box)</t>
        </is>
      </c>
      <c r="G512" t="inlineStr">
        <is>
          <t>Second Class</t>
        </is>
      </c>
      <c r="H512" t="n">
        <v>8</v>
      </c>
      <c r="I512" s="11" t="n">
        <v>985.91</v>
      </c>
      <c r="J512" s="12" t="n">
        <v>0</v>
      </c>
      <c r="K512" s="11" t="n">
        <v>7887.28</v>
      </c>
      <c r="L512" s="11" t="n">
        <v>2951.3</v>
      </c>
      <c r="M512" s="12" t="n">
        <v>0.3742</v>
      </c>
    </row>
    <row r="513">
      <c r="A513" t="inlineStr">
        <is>
          <t>ORD-11535</t>
        </is>
      </c>
      <c r="B513" s="10" t="inlineStr">
        <is>
          <t>2024-07-01</t>
        </is>
      </c>
      <c r="C513" t="inlineStr">
        <is>
          <t>Customer 108</t>
        </is>
      </c>
      <c r="D513" t="inlineStr">
        <is>
          <t>East</t>
        </is>
      </c>
      <c r="E513" t="inlineStr">
        <is>
          <t>Office Supplies</t>
        </is>
      </c>
      <c r="F513" t="inlineStr">
        <is>
          <t>Binder</t>
        </is>
      </c>
      <c r="G513" t="inlineStr">
        <is>
          <t>First Class</t>
        </is>
      </c>
      <c r="H513" t="n">
        <v>4</v>
      </c>
      <c r="I513" s="11" t="n">
        <v>961.1900000000001</v>
      </c>
      <c r="J513" s="12" t="n">
        <v>0</v>
      </c>
      <c r="K513" s="11" t="n">
        <v>3844.76</v>
      </c>
      <c r="L513" s="11" t="n">
        <v>919.09</v>
      </c>
      <c r="M513" s="12" t="n">
        <v>0.2391</v>
      </c>
    </row>
    <row r="514">
      <c r="A514" t="inlineStr">
        <is>
          <t>ORD-11411</t>
        </is>
      </c>
      <c r="B514" s="10" t="inlineStr">
        <is>
          <t>2024-07-01</t>
        </is>
      </c>
      <c r="C514" t="inlineStr">
        <is>
          <t>Customer 42</t>
        </is>
      </c>
      <c r="D514" t="inlineStr">
        <is>
          <t>West</t>
        </is>
      </c>
      <c r="E514" t="inlineStr">
        <is>
          <t>Office Supplies</t>
        </is>
      </c>
      <c r="F514" t="inlineStr">
        <is>
          <t>Paper</t>
        </is>
      </c>
      <c r="G514" t="inlineStr">
        <is>
          <t>First Class</t>
        </is>
      </c>
      <c r="H514" t="n">
        <v>6</v>
      </c>
      <c r="I514" s="11" t="n">
        <v>1024.2</v>
      </c>
      <c r="J514" s="12" t="n">
        <v>0.2</v>
      </c>
      <c r="K514" s="11" t="n">
        <v>4916.16</v>
      </c>
      <c r="L514" s="11" t="n">
        <v>-33</v>
      </c>
      <c r="M514" s="12" t="n">
        <v>-0.0067</v>
      </c>
    </row>
    <row r="515">
      <c r="A515" t="inlineStr">
        <is>
          <t>ORD-10459</t>
        </is>
      </c>
      <c r="B515" s="10" t="inlineStr">
        <is>
          <t>2024-07-01</t>
        </is>
      </c>
      <c r="C515" t="inlineStr">
        <is>
          <t>Customer 17</t>
        </is>
      </c>
      <c r="D515" t="inlineStr">
        <is>
          <t>East</t>
        </is>
      </c>
      <c r="E515" t="inlineStr">
        <is>
          <t>Technology</t>
        </is>
      </c>
      <c r="F515" t="inlineStr">
        <is>
          <t>Laptop</t>
        </is>
      </c>
      <c r="G515" t="inlineStr">
        <is>
          <t>Second Class</t>
        </is>
      </c>
      <c r="H515" t="n">
        <v>7</v>
      </c>
      <c r="I515" s="11" t="n">
        <v>324.42</v>
      </c>
      <c r="J515" s="12" t="n">
        <v>0</v>
      </c>
      <c r="K515" s="11" t="n">
        <v>2270.94</v>
      </c>
      <c r="L515" s="11" t="n">
        <v>1044.93</v>
      </c>
      <c r="M515" s="12" t="n">
        <v>0.4601</v>
      </c>
    </row>
    <row r="516">
      <c r="A516" t="inlineStr">
        <is>
          <t>ORD-10897</t>
        </is>
      </c>
      <c r="B516" s="10" t="inlineStr">
        <is>
          <t>2024-07-01</t>
        </is>
      </c>
      <c r="C516" t="inlineStr">
        <is>
          <t>Customer 161</t>
        </is>
      </c>
      <c r="D516" t="inlineStr">
        <is>
          <t>West</t>
        </is>
      </c>
      <c r="E516" t="inlineStr">
        <is>
          <t>Technology</t>
        </is>
      </c>
      <c r="F516" t="inlineStr">
        <is>
          <t>Monitor</t>
        </is>
      </c>
      <c r="G516" t="inlineStr">
        <is>
          <t>Standard Class</t>
        </is>
      </c>
      <c r="H516" t="n">
        <v>2</v>
      </c>
      <c r="I516" s="11" t="n">
        <v>984.1799999999999</v>
      </c>
      <c r="J516" s="12" t="n">
        <v>0.15</v>
      </c>
      <c r="K516" s="11" t="n">
        <v>1673.11</v>
      </c>
      <c r="L516" s="11" t="n">
        <v>84.43000000000001</v>
      </c>
      <c r="M516" s="12" t="n">
        <v>0.0505</v>
      </c>
    </row>
    <row r="517">
      <c r="A517" t="inlineStr">
        <is>
          <t>ORD-10686</t>
        </is>
      </c>
      <c r="B517" s="10" t="inlineStr">
        <is>
          <t>2024-07-01</t>
        </is>
      </c>
      <c r="C517" t="inlineStr">
        <is>
          <t>Customer 26</t>
        </is>
      </c>
      <c r="D517" t="inlineStr">
        <is>
          <t>East</t>
        </is>
      </c>
      <c r="E517" t="inlineStr">
        <is>
          <t>Technology</t>
        </is>
      </c>
      <c r="F517" t="inlineStr">
        <is>
          <t>Printer</t>
        </is>
      </c>
      <c r="G517" t="inlineStr">
        <is>
          <t>Standard Class</t>
        </is>
      </c>
      <c r="H517" t="n">
        <v>4</v>
      </c>
      <c r="I517" s="11" t="n">
        <v>896.59</v>
      </c>
      <c r="J517" s="12" t="n">
        <v>0.1</v>
      </c>
      <c r="K517" s="11" t="n">
        <v>3227.72</v>
      </c>
      <c r="L517" s="11" t="n">
        <v>525.62</v>
      </c>
      <c r="M517" s="12" t="n">
        <v>0.1628</v>
      </c>
    </row>
    <row r="518">
      <c r="A518" t="inlineStr">
        <is>
          <t>ORD-10293</t>
        </is>
      </c>
      <c r="B518" s="10" t="inlineStr">
        <is>
          <t>2024-07-02</t>
        </is>
      </c>
      <c r="C518" t="inlineStr">
        <is>
          <t>Customer 118</t>
        </is>
      </c>
      <c r="D518" t="inlineStr">
        <is>
          <t>North</t>
        </is>
      </c>
      <c r="E518" t="inlineStr">
        <is>
          <t>Office Supplies</t>
        </is>
      </c>
      <c r="F518" t="inlineStr">
        <is>
          <t>Stapler</t>
        </is>
      </c>
      <c r="G518" t="inlineStr">
        <is>
          <t>Standard Class</t>
        </is>
      </c>
      <c r="H518" t="n">
        <v>6</v>
      </c>
      <c r="I518" s="11" t="n">
        <v>1012.06</v>
      </c>
      <c r="J518" s="12" t="n">
        <v>0</v>
      </c>
      <c r="K518" s="11" t="n">
        <v>6072.36</v>
      </c>
      <c r="L518" s="11" t="n">
        <v>1010.8</v>
      </c>
      <c r="M518" s="12" t="n">
        <v>0.1665</v>
      </c>
    </row>
    <row r="519">
      <c r="A519" t="inlineStr">
        <is>
          <t>ORD-11826</t>
        </is>
      </c>
      <c r="B519" s="10" t="inlineStr">
        <is>
          <t>2024-07-03</t>
        </is>
      </c>
      <c r="C519" t="inlineStr">
        <is>
          <t>Customer 159</t>
        </is>
      </c>
      <c r="D519" t="inlineStr">
        <is>
          <t>East</t>
        </is>
      </c>
      <c r="E519" t="inlineStr">
        <is>
          <t>Office Supplies</t>
        </is>
      </c>
      <c r="F519" t="inlineStr">
        <is>
          <t>Paper</t>
        </is>
      </c>
      <c r="G519" t="inlineStr">
        <is>
          <t>First Class</t>
        </is>
      </c>
      <c r="H519" t="n">
        <v>6</v>
      </c>
      <c r="I519" s="11" t="n">
        <v>135.52</v>
      </c>
      <c r="J519" s="12" t="n">
        <v>0.1</v>
      </c>
      <c r="K519" s="11" t="n">
        <v>731.8099999999999</v>
      </c>
      <c r="L519" s="11" t="n">
        <v>241.05</v>
      </c>
      <c r="M519" s="12" t="n">
        <v>0.3294</v>
      </c>
    </row>
    <row r="520">
      <c r="A520" t="inlineStr">
        <is>
          <t>ORD-11124</t>
        </is>
      </c>
      <c r="B520" s="10" t="inlineStr">
        <is>
          <t>2024-07-04</t>
        </is>
      </c>
      <c r="C520" t="inlineStr">
        <is>
          <t>Customer 15</t>
        </is>
      </c>
      <c r="D520" t="inlineStr">
        <is>
          <t>East</t>
        </is>
      </c>
      <c r="E520" t="inlineStr">
        <is>
          <t>Office Supplies</t>
        </is>
      </c>
      <c r="F520" t="inlineStr">
        <is>
          <t>Stapler</t>
        </is>
      </c>
      <c r="G520" t="inlineStr">
        <is>
          <t>Standard Class</t>
        </is>
      </c>
      <c r="H520" t="n">
        <v>4</v>
      </c>
      <c r="I520" s="11" t="n">
        <v>388.96</v>
      </c>
      <c r="J520" s="12" t="n">
        <v>0</v>
      </c>
      <c r="K520" s="11" t="n">
        <v>1555.84</v>
      </c>
      <c r="L520" s="11" t="n">
        <v>482.73</v>
      </c>
      <c r="M520" s="12" t="n">
        <v>0.3103</v>
      </c>
    </row>
    <row r="521">
      <c r="A521" t="inlineStr">
        <is>
          <t>ORD-11063</t>
        </is>
      </c>
      <c r="B521" s="10" t="inlineStr">
        <is>
          <t>2024-07-04</t>
        </is>
      </c>
      <c r="C521" t="inlineStr">
        <is>
          <t>Customer 40</t>
        </is>
      </c>
      <c r="D521" t="inlineStr">
        <is>
          <t>East</t>
        </is>
      </c>
      <c r="E521" t="inlineStr">
        <is>
          <t>Technology</t>
        </is>
      </c>
      <c r="F521" t="inlineStr">
        <is>
          <t>Laptop</t>
        </is>
      </c>
      <c r="G521" t="inlineStr">
        <is>
          <t>First Class</t>
        </is>
      </c>
      <c r="H521" t="n">
        <v>10</v>
      </c>
      <c r="I521" s="11" t="n">
        <v>548.08</v>
      </c>
      <c r="J521" s="12" t="n">
        <v>0.15</v>
      </c>
      <c r="K521" s="11" t="n">
        <v>4658.68</v>
      </c>
      <c r="L521" s="11" t="n">
        <v>1814.99</v>
      </c>
      <c r="M521" s="12" t="n">
        <v>0.3896</v>
      </c>
    </row>
    <row r="522">
      <c r="A522" t="inlineStr">
        <is>
          <t>ORD-11165</t>
        </is>
      </c>
      <c r="B522" s="10" t="inlineStr">
        <is>
          <t>2024-07-04</t>
        </is>
      </c>
      <c r="C522" t="inlineStr">
        <is>
          <t>Customer 128</t>
        </is>
      </c>
      <c r="D522" t="inlineStr">
        <is>
          <t>West</t>
        </is>
      </c>
      <c r="E522" t="inlineStr">
        <is>
          <t>Office Supplies</t>
        </is>
      </c>
      <c r="F522" t="inlineStr">
        <is>
          <t>Binder</t>
        </is>
      </c>
      <c r="G522" t="inlineStr">
        <is>
          <t>Same Day</t>
        </is>
      </c>
      <c r="H522" t="n">
        <v>5</v>
      </c>
      <c r="I522" s="11" t="n">
        <v>760.85</v>
      </c>
      <c r="J522" s="12" t="n">
        <v>0</v>
      </c>
      <c r="K522" s="11" t="n">
        <v>3804.25</v>
      </c>
      <c r="L522" s="11" t="n">
        <v>581.38</v>
      </c>
      <c r="M522" s="12" t="n">
        <v>0.1528</v>
      </c>
    </row>
    <row r="523">
      <c r="A523" t="inlineStr">
        <is>
          <t>ORD-11603</t>
        </is>
      </c>
      <c r="B523" s="10" t="inlineStr">
        <is>
          <t>2024-07-04</t>
        </is>
      </c>
      <c r="C523" t="inlineStr">
        <is>
          <t>Customer 89</t>
        </is>
      </c>
      <c r="D523" t="inlineStr">
        <is>
          <t>West</t>
        </is>
      </c>
      <c r="E523" t="inlineStr">
        <is>
          <t>Technology</t>
        </is>
      </c>
      <c r="F523" t="inlineStr">
        <is>
          <t>Monitor</t>
        </is>
      </c>
      <c r="G523" t="inlineStr">
        <is>
          <t>Second Class</t>
        </is>
      </c>
      <c r="H523" t="n">
        <v>11</v>
      </c>
      <c r="I523" s="11" t="n">
        <v>210.06</v>
      </c>
      <c r="J523" s="12" t="n">
        <v>0</v>
      </c>
      <c r="K523" s="11" t="n">
        <v>2310.66</v>
      </c>
      <c r="L523" s="11" t="n">
        <v>626.85</v>
      </c>
      <c r="M523" s="12" t="n">
        <v>0.2713</v>
      </c>
    </row>
    <row r="524">
      <c r="A524" t="inlineStr">
        <is>
          <t>ORD-11603</t>
        </is>
      </c>
      <c r="B524" s="10" t="inlineStr">
        <is>
          <t>2024-07-04</t>
        </is>
      </c>
      <c r="C524" t="inlineStr">
        <is>
          <t>Customer 89</t>
        </is>
      </c>
      <c r="D524" t="inlineStr">
        <is>
          <t>West</t>
        </is>
      </c>
      <c r="E524" t="inlineStr">
        <is>
          <t>Technology</t>
        </is>
      </c>
      <c r="F524" t="inlineStr">
        <is>
          <t>Monitor</t>
        </is>
      </c>
      <c r="G524" t="inlineStr">
        <is>
          <t>Second Class</t>
        </is>
      </c>
      <c r="H524" t="n">
        <v>11</v>
      </c>
      <c r="I524" s="11" t="n">
        <v>210.06</v>
      </c>
      <c r="J524" s="12" t="n">
        <v>0</v>
      </c>
      <c r="K524" s="11" t="n">
        <v>2310.66</v>
      </c>
      <c r="L524" s="11" t="n">
        <v>626.85</v>
      </c>
      <c r="M524" s="12" t="n">
        <v>0.2713</v>
      </c>
    </row>
    <row r="525">
      <c r="A525" t="inlineStr">
        <is>
          <t>ORD-11418</t>
        </is>
      </c>
      <c r="B525" s="10" t="inlineStr">
        <is>
          <t>2024-07-04</t>
        </is>
      </c>
      <c r="C525" t="inlineStr">
        <is>
          <t>Customer 127</t>
        </is>
      </c>
      <c r="D525" t="inlineStr">
        <is>
          <t>North</t>
        </is>
      </c>
      <c r="E525" t="inlineStr">
        <is>
          <t>Office Supplies</t>
        </is>
      </c>
      <c r="F525" t="inlineStr">
        <is>
          <t>Stapler</t>
        </is>
      </c>
      <c r="G525" t="inlineStr">
        <is>
          <t>Same Day</t>
        </is>
      </c>
      <c r="H525" t="n">
        <v>296</v>
      </c>
      <c r="I525" s="11" t="n">
        <v>687.77</v>
      </c>
      <c r="J525" s="12" t="n">
        <v>0</v>
      </c>
      <c r="K525" s="11" t="n">
        <v>1375.54</v>
      </c>
      <c r="L525" s="11" t="n">
        <v>234.62</v>
      </c>
      <c r="M525" s="12" t="n">
        <v>0.1706</v>
      </c>
    </row>
    <row r="526">
      <c r="A526" t="inlineStr">
        <is>
          <t>ORD-10636</t>
        </is>
      </c>
      <c r="B526" s="10" t="inlineStr">
        <is>
          <t>2024-07-05</t>
        </is>
      </c>
      <c r="C526" t="inlineStr">
        <is>
          <t>Customer 74</t>
        </is>
      </c>
      <c r="D526" t="inlineStr">
        <is>
          <t>North</t>
        </is>
      </c>
      <c r="E526" t="inlineStr">
        <is>
          <t>Office Supplies</t>
        </is>
      </c>
      <c r="F526" t="inlineStr">
        <is>
          <t>Stapler</t>
        </is>
      </c>
      <c r="G526" t="inlineStr">
        <is>
          <t>Same Day</t>
        </is>
      </c>
      <c r="H526" t="n">
        <v>5</v>
      </c>
      <c r="I526" s="11" t="n">
        <v>1171.56</v>
      </c>
      <c r="J526" s="12" t="n">
        <v>0</v>
      </c>
      <c r="K526" s="11" t="n">
        <v>5857.8</v>
      </c>
      <c r="L526" s="11" t="n">
        <v>1427.48</v>
      </c>
      <c r="M526" s="12" t="n">
        <v>0.2437</v>
      </c>
    </row>
    <row r="527">
      <c r="A527" t="inlineStr">
        <is>
          <t>ORD-10435</t>
        </is>
      </c>
      <c r="B527" s="10" t="inlineStr">
        <is>
          <t>2024-07-05</t>
        </is>
      </c>
      <c r="C527" t="inlineStr">
        <is>
          <t>Customer 99</t>
        </is>
      </c>
      <c r="D527" t="inlineStr">
        <is>
          <t>East</t>
        </is>
      </c>
      <c r="E527" t="inlineStr">
        <is>
          <t>Furniture</t>
        </is>
      </c>
      <c r="F527" t="inlineStr">
        <is>
          <t>Table Lamp</t>
        </is>
      </c>
      <c r="G527" t="inlineStr">
        <is>
          <t>Second Class</t>
        </is>
      </c>
      <c r="H527" t="n">
        <v>2</v>
      </c>
      <c r="I527" s="11" t="n">
        <v>810.6</v>
      </c>
      <c r="J527" s="12" t="n">
        <v>0</v>
      </c>
      <c r="K527" s="11" t="n">
        <v>1621.2</v>
      </c>
      <c r="L527" s="11" t="n">
        <v>475.94</v>
      </c>
      <c r="M527" s="12" t="n">
        <v>0.2936</v>
      </c>
    </row>
    <row r="528">
      <c r="A528" t="inlineStr">
        <is>
          <t>ORD-11596</t>
        </is>
      </c>
      <c r="B528" s="10" t="inlineStr">
        <is>
          <t>2024-07-05</t>
        </is>
      </c>
      <c r="C528" t="inlineStr">
        <is>
          <t>Customer 2</t>
        </is>
      </c>
      <c r="D528" t="inlineStr">
        <is>
          <t>West</t>
        </is>
      </c>
      <c r="E528" t="inlineStr">
        <is>
          <t>Furniture</t>
        </is>
      </c>
      <c r="F528" t="inlineStr">
        <is>
          <t>Desk</t>
        </is>
      </c>
      <c r="G528" t="inlineStr">
        <is>
          <t>Same Day</t>
        </is>
      </c>
      <c r="H528" t="n">
        <v>8</v>
      </c>
      <c r="I528" s="11" t="n">
        <v>286.81</v>
      </c>
      <c r="J528" s="12" t="n">
        <v>0</v>
      </c>
      <c r="K528" s="11" t="n">
        <v>2294.48</v>
      </c>
      <c r="L528" s="11" t="n">
        <v>531.01</v>
      </c>
      <c r="M528" s="12" t="n">
        <v>0.2314</v>
      </c>
    </row>
    <row r="529">
      <c r="A529" t="inlineStr">
        <is>
          <t>ORD-10464</t>
        </is>
      </c>
      <c r="B529" s="10" t="inlineStr">
        <is>
          <t>2024-07-05</t>
        </is>
      </c>
      <c r="C529" t="inlineStr">
        <is>
          <t>Customer 141</t>
        </is>
      </c>
      <c r="D529" t="inlineStr">
        <is>
          <t>West</t>
        </is>
      </c>
      <c r="E529" t="inlineStr">
        <is>
          <t>Furniture</t>
        </is>
      </c>
      <c r="F529" t="inlineStr">
        <is>
          <t>Desk</t>
        </is>
      </c>
      <c r="G529" t="inlineStr">
        <is>
          <t>First Class</t>
        </is>
      </c>
      <c r="H529" t="n">
        <v>8</v>
      </c>
      <c r="I529" s="11" t="n">
        <v>854.84</v>
      </c>
      <c r="J529" s="12" t="n">
        <v>0.1</v>
      </c>
      <c r="K529" s="11" t="n">
        <v>6154.85</v>
      </c>
      <c r="L529" s="11" t="n">
        <v>1655.28</v>
      </c>
      <c r="M529" s="12" t="n">
        <v>0.2689</v>
      </c>
    </row>
    <row r="530">
      <c r="A530" t="inlineStr">
        <is>
          <t>ORD-10462</t>
        </is>
      </c>
      <c r="B530" s="10" t="inlineStr">
        <is>
          <t>2024-07-07</t>
        </is>
      </c>
      <c r="C530" t="inlineStr">
        <is>
          <t>Customer 38</t>
        </is>
      </c>
      <c r="D530" t="inlineStr">
        <is>
          <t>West</t>
        </is>
      </c>
      <c r="E530" t="inlineStr">
        <is>
          <t>Furniture</t>
        </is>
      </c>
      <c r="F530" t="inlineStr">
        <is>
          <t>Desk</t>
        </is>
      </c>
      <c r="G530" t="inlineStr">
        <is>
          <t>Same Day</t>
        </is>
      </c>
      <c r="H530" t="n">
        <v>7</v>
      </c>
      <c r="I530" s="11" t="n">
        <v>208.08</v>
      </c>
      <c r="J530" s="12" t="n">
        <v>0.3</v>
      </c>
      <c r="K530" s="11" t="n">
        <v>1019.59</v>
      </c>
      <c r="L530" s="11" t="n">
        <v>191.69</v>
      </c>
      <c r="M530" s="12" t="n">
        <v>0.188</v>
      </c>
    </row>
    <row r="531">
      <c r="A531" t="inlineStr">
        <is>
          <t>ORD-10171</t>
        </is>
      </c>
      <c r="B531" s="10" t="inlineStr">
        <is>
          <t>2024-07-07</t>
        </is>
      </c>
      <c r="C531" t="inlineStr">
        <is>
          <t>Customer 22</t>
        </is>
      </c>
      <c r="D531" t="inlineStr">
        <is>
          <t>South</t>
        </is>
      </c>
      <c r="E531" t="inlineStr">
        <is>
          <t>Furniture</t>
        </is>
      </c>
      <c r="F531" t="inlineStr">
        <is>
          <t>Table Lamp</t>
        </is>
      </c>
      <c r="G531" t="inlineStr">
        <is>
          <t>Standard Class</t>
        </is>
      </c>
      <c r="H531" t="n">
        <v>7</v>
      </c>
      <c r="I531" s="11" t="n">
        <v>586</v>
      </c>
      <c r="J531" s="12" t="n">
        <v>0</v>
      </c>
      <c r="K531" s="11" t="n">
        <v>4102</v>
      </c>
      <c r="L531" s="11" t="n">
        <v>1449.94</v>
      </c>
      <c r="M531" s="12" t="n">
        <v>0.3535</v>
      </c>
    </row>
    <row r="532">
      <c r="A532" t="inlineStr">
        <is>
          <t>ORD-10354</t>
        </is>
      </c>
      <c r="B532" s="10" t="inlineStr">
        <is>
          <t>2024-07-07</t>
        </is>
      </c>
      <c r="C532" t="inlineStr">
        <is>
          <t>Customer 154</t>
        </is>
      </c>
      <c r="D532" t="inlineStr">
        <is>
          <t>South</t>
        </is>
      </c>
      <c r="E532" t="inlineStr">
        <is>
          <t>Furniture</t>
        </is>
      </c>
      <c r="F532" t="inlineStr">
        <is>
          <t>Table Lamp</t>
        </is>
      </c>
      <c r="G532" t="inlineStr">
        <is>
          <t>First Class</t>
        </is>
      </c>
      <c r="H532" t="n">
        <v>11</v>
      </c>
      <c r="I532" s="11" t="n">
        <v>231.44</v>
      </c>
      <c r="J532" s="12" t="n">
        <v>0</v>
      </c>
      <c r="K532" s="11" t="n">
        <v>2545.84</v>
      </c>
      <c r="L532" s="11" t="n">
        <v>778.16</v>
      </c>
      <c r="M532" s="12" t="n">
        <v>0.3057</v>
      </c>
    </row>
    <row r="533">
      <c r="A533" t="inlineStr">
        <is>
          <t>ORD-10252</t>
        </is>
      </c>
      <c r="B533" s="10" t="inlineStr">
        <is>
          <t>2024-07-07</t>
        </is>
      </c>
      <c r="C533" t="inlineStr">
        <is>
          <t>Customer 13</t>
        </is>
      </c>
      <c r="D533" t="inlineStr">
        <is>
          <t>East</t>
        </is>
      </c>
      <c r="E533" t="inlineStr">
        <is>
          <t>Technology</t>
        </is>
      </c>
      <c r="F533" t="inlineStr">
        <is>
          <t>Printer</t>
        </is>
      </c>
      <c r="G533" t="inlineStr">
        <is>
          <t>Standard Class</t>
        </is>
      </c>
      <c r="H533" t="n">
        <v>6</v>
      </c>
      <c r="I533" s="11" t="n">
        <v>1040.6</v>
      </c>
      <c r="J533" s="12" t="n">
        <v>0.1</v>
      </c>
      <c r="K533" s="11" t="n">
        <v>5619.24</v>
      </c>
      <c r="L533" s="11" t="n">
        <v>561.9400000000001</v>
      </c>
      <c r="M533" s="12" t="n">
        <v>0.1</v>
      </c>
    </row>
    <row r="534">
      <c r="A534" t="inlineStr">
        <is>
          <t>ORD-11090</t>
        </is>
      </c>
      <c r="B534" s="10" t="inlineStr">
        <is>
          <t>2024-07-07</t>
        </is>
      </c>
      <c r="C534" t="inlineStr">
        <is>
          <t>Customer 145</t>
        </is>
      </c>
      <c r="D534" t="inlineStr">
        <is>
          <t>West</t>
        </is>
      </c>
      <c r="E534" t="inlineStr">
        <is>
          <t>Technology</t>
        </is>
      </c>
      <c r="F534" t="inlineStr">
        <is>
          <t>Monitor</t>
        </is>
      </c>
      <c r="G534" t="inlineStr">
        <is>
          <t>Standard Class</t>
        </is>
      </c>
      <c r="H534" t="n">
        <v>5</v>
      </c>
      <c r="I534" s="11" t="n">
        <v>526.52</v>
      </c>
      <c r="J534" s="12" t="n">
        <v>0.1</v>
      </c>
      <c r="K534" s="11" t="n">
        <v>2369.34</v>
      </c>
      <c r="L534" s="11" t="n">
        <v>724.26</v>
      </c>
      <c r="M534" s="12" t="n">
        <v>0.3057</v>
      </c>
    </row>
    <row r="535">
      <c r="A535" t="inlineStr">
        <is>
          <t>ORD-11743</t>
        </is>
      </c>
      <c r="B535" s="10" t="inlineStr">
        <is>
          <t>2024-07-07</t>
        </is>
      </c>
      <c r="C535" t="inlineStr">
        <is>
          <t>Customer 51</t>
        </is>
      </c>
      <c r="D535" t="inlineStr">
        <is>
          <t>West</t>
        </is>
      </c>
      <c r="E535" t="inlineStr">
        <is>
          <t>Furniture</t>
        </is>
      </c>
      <c r="F535" t="inlineStr">
        <is>
          <t>Table Lamp</t>
        </is>
      </c>
      <c r="G535" t="inlineStr">
        <is>
          <t>First Class</t>
        </is>
      </c>
      <c r="H535" t="n">
        <v>1</v>
      </c>
      <c r="I535" s="11" t="n">
        <v>833.02</v>
      </c>
      <c r="J535" s="12" t="n">
        <v>0.15</v>
      </c>
      <c r="K535" s="11" t="n">
        <v>708.0700000000001</v>
      </c>
      <c r="L535" s="11" t="n">
        <v>245.25</v>
      </c>
      <c r="M535" s="12" t="n">
        <v>0.3464</v>
      </c>
    </row>
    <row r="536">
      <c r="A536" t="inlineStr">
        <is>
          <t>ORD-10773</t>
        </is>
      </c>
      <c r="B536" s="10" t="inlineStr">
        <is>
          <t>2024-07-08</t>
        </is>
      </c>
      <c r="C536" t="inlineStr">
        <is>
          <t>Customer 125</t>
        </is>
      </c>
      <c r="D536" t="inlineStr">
        <is>
          <t>West</t>
        </is>
      </c>
      <c r="E536" t="inlineStr">
        <is>
          <t>Furniture</t>
        </is>
      </c>
      <c r="F536" t="inlineStr">
        <is>
          <t>Desk</t>
        </is>
      </c>
      <c r="G536" t="inlineStr">
        <is>
          <t>Same Day</t>
        </is>
      </c>
      <c r="H536" t="n">
        <v>6</v>
      </c>
      <c r="I536" s="11" t="n">
        <v>749.04</v>
      </c>
      <c r="J536" s="12" t="n">
        <v>0</v>
      </c>
      <c r="K536" s="11" t="n">
        <v>4494.24</v>
      </c>
      <c r="L536" s="11" t="n">
        <v>1568.14</v>
      </c>
      <c r="M536" s="12" t="n">
        <v>0.3489</v>
      </c>
    </row>
    <row r="537">
      <c r="A537" t="inlineStr">
        <is>
          <t>ORD-10645</t>
        </is>
      </c>
      <c r="B537" s="10" t="inlineStr">
        <is>
          <t>2024-07-08</t>
        </is>
      </c>
      <c r="C537" t="inlineStr">
        <is>
          <t>Customer 101</t>
        </is>
      </c>
      <c r="D537" t="inlineStr">
        <is>
          <t>West</t>
        </is>
      </c>
      <c r="E537" t="inlineStr">
        <is>
          <t>Office Supplies</t>
        </is>
      </c>
      <c r="F537" t="inlineStr">
        <is>
          <t>Pens (Box)</t>
        </is>
      </c>
      <c r="G537" t="inlineStr">
        <is>
          <t>Standard Class</t>
        </is>
      </c>
      <c r="H537" t="n">
        <v>3</v>
      </c>
      <c r="I537" s="11" t="n">
        <v>1193.16</v>
      </c>
      <c r="J537" s="12" t="n">
        <v>0</v>
      </c>
      <c r="K537" s="11" t="n">
        <v>3579.48</v>
      </c>
      <c r="L537" s="11" t="n">
        <v>1684.07</v>
      </c>
      <c r="M537" s="12" t="n">
        <v>0.4705</v>
      </c>
    </row>
    <row r="538">
      <c r="A538" t="inlineStr">
        <is>
          <t>ORD-10124</t>
        </is>
      </c>
      <c r="B538" s="10" t="inlineStr">
        <is>
          <t>2024-07-08</t>
        </is>
      </c>
      <c r="C538" t="inlineStr">
        <is>
          <t>Customer 161</t>
        </is>
      </c>
      <c r="D538" t="inlineStr">
        <is>
          <t>West</t>
        </is>
      </c>
      <c r="E538" t="inlineStr">
        <is>
          <t>Furniture</t>
        </is>
      </c>
      <c r="F538" t="inlineStr">
        <is>
          <t>Desk</t>
        </is>
      </c>
      <c r="G538" t="inlineStr">
        <is>
          <t>First Class</t>
        </is>
      </c>
      <c r="H538" t="n">
        <v>6</v>
      </c>
      <c r="I538" s="11" t="n">
        <v>58.98</v>
      </c>
      <c r="J538" s="12" t="n">
        <v>0</v>
      </c>
      <c r="K538" s="11" t="n">
        <v>353.88</v>
      </c>
      <c r="L538" s="11" t="n">
        <v>58.12</v>
      </c>
      <c r="M538" s="12" t="n">
        <v>0.1642</v>
      </c>
    </row>
    <row r="539">
      <c r="A539" t="inlineStr">
        <is>
          <t>ORD-10633</t>
        </is>
      </c>
      <c r="B539" s="10" t="inlineStr">
        <is>
          <t>2024-07-09</t>
        </is>
      </c>
      <c r="C539" t="inlineStr">
        <is>
          <t>Customer 59</t>
        </is>
      </c>
      <c r="D539" t="inlineStr">
        <is>
          <t>East</t>
        </is>
      </c>
      <c r="E539" t="inlineStr">
        <is>
          <t>Technology</t>
        </is>
      </c>
      <c r="F539" t="inlineStr">
        <is>
          <t>Printer</t>
        </is>
      </c>
      <c r="G539" t="inlineStr">
        <is>
          <t>First Class</t>
        </is>
      </c>
      <c r="H539" t="n">
        <v>3</v>
      </c>
      <c r="I539" s="11" t="n">
        <v>840.63</v>
      </c>
      <c r="J539" s="12" t="n">
        <v>0</v>
      </c>
      <c r="K539" s="11" t="n">
        <v>2521.89</v>
      </c>
      <c r="L539" s="11" t="n">
        <v>864.3200000000001</v>
      </c>
      <c r="M539" s="12" t="n">
        <v>0.3427</v>
      </c>
    </row>
    <row r="540">
      <c r="A540" t="inlineStr">
        <is>
          <t>ORD-10792</t>
        </is>
      </c>
      <c r="B540" s="10" t="inlineStr">
        <is>
          <t>2024-07-09</t>
        </is>
      </c>
      <c r="C540" t="inlineStr">
        <is>
          <t>Customer 195</t>
        </is>
      </c>
      <c r="D540" t="inlineStr">
        <is>
          <t>West</t>
        </is>
      </c>
      <c r="E540" t="inlineStr">
        <is>
          <t>Furniture</t>
        </is>
      </c>
      <c r="F540" t="inlineStr">
        <is>
          <t>Desk</t>
        </is>
      </c>
      <c r="G540" t="inlineStr">
        <is>
          <t>Standard Class</t>
        </is>
      </c>
      <c r="H540" t="n">
        <v>10</v>
      </c>
      <c r="I540" s="11" t="n">
        <v>555.61</v>
      </c>
      <c r="J540" s="12" t="n">
        <v>0.1</v>
      </c>
      <c r="K540" s="11" t="n">
        <v>5000.49</v>
      </c>
      <c r="L540" s="11" t="n">
        <v>1231.86</v>
      </c>
      <c r="M540" s="12" t="n">
        <v>0.2463</v>
      </c>
    </row>
    <row r="541">
      <c r="A541" t="inlineStr">
        <is>
          <t>ORD-11314</t>
        </is>
      </c>
      <c r="B541" s="10" t="inlineStr">
        <is>
          <t>2024-07-09</t>
        </is>
      </c>
      <c r="C541" t="inlineStr">
        <is>
          <t>Customer 52</t>
        </is>
      </c>
      <c r="D541" t="inlineStr">
        <is>
          <t>North</t>
        </is>
      </c>
      <c r="E541" t="inlineStr">
        <is>
          <t>Furniture</t>
        </is>
      </c>
      <c r="F541" t="inlineStr">
        <is>
          <t>Desk</t>
        </is>
      </c>
      <c r="G541" t="inlineStr">
        <is>
          <t>Second Class</t>
        </is>
      </c>
      <c r="H541" t="n">
        <v>8</v>
      </c>
      <c r="I541" s="11" t="n">
        <v>473.9</v>
      </c>
      <c r="J541" s="12" t="n">
        <v>0</v>
      </c>
      <c r="K541" s="11" t="n">
        <v>3791.2</v>
      </c>
      <c r="L541" s="11" t="n">
        <v>1876.41</v>
      </c>
      <c r="M541" s="12" t="n">
        <v>0.4949</v>
      </c>
    </row>
    <row r="542">
      <c r="A542" t="inlineStr">
        <is>
          <t>ORD-10001</t>
        </is>
      </c>
      <c r="B542" s="10" t="inlineStr">
        <is>
          <t>2024-07-09</t>
        </is>
      </c>
      <c r="C542" t="inlineStr">
        <is>
          <t>Customer 14</t>
        </is>
      </c>
      <c r="D542" t="inlineStr">
        <is>
          <t>West</t>
        </is>
      </c>
      <c r="E542" t="inlineStr">
        <is>
          <t>Office Supplies</t>
        </is>
      </c>
      <c r="F542" t="inlineStr">
        <is>
          <t>Binder</t>
        </is>
      </c>
      <c r="G542" t="inlineStr">
        <is>
          <t>Same Day</t>
        </is>
      </c>
      <c r="H542" t="n">
        <v>8</v>
      </c>
      <c r="I542" s="11" t="n">
        <v>322.71</v>
      </c>
      <c r="J542" s="12" t="n">
        <v>0.3</v>
      </c>
      <c r="K542" s="11" t="n">
        <v>1807.18</v>
      </c>
      <c r="L542" s="11" t="n">
        <v>-187.33</v>
      </c>
      <c r="M542" s="12" t="n">
        <v>-0.1037</v>
      </c>
    </row>
    <row r="543">
      <c r="A543" t="inlineStr">
        <is>
          <t>ORD-10805</t>
        </is>
      </c>
      <c r="B543" s="10" t="inlineStr">
        <is>
          <t>2024-07-10</t>
        </is>
      </c>
      <c r="C543" t="inlineStr">
        <is>
          <t>Customer 75</t>
        </is>
      </c>
      <c r="D543" t="inlineStr">
        <is>
          <t>East</t>
        </is>
      </c>
      <c r="E543" t="inlineStr">
        <is>
          <t>Technology</t>
        </is>
      </c>
      <c r="F543" t="inlineStr">
        <is>
          <t>Monitor</t>
        </is>
      </c>
      <c r="G543" t="inlineStr">
        <is>
          <t>Second Class</t>
        </is>
      </c>
      <c r="H543" t="n">
        <v>11</v>
      </c>
      <c r="I543" s="11" t="n">
        <v>528.13</v>
      </c>
      <c r="J543" s="12" t="n">
        <v>0</v>
      </c>
      <c r="K543" s="11" t="n">
        <v>5809.43</v>
      </c>
      <c r="L543" s="11" t="n">
        <v>1347.53</v>
      </c>
      <c r="M543" s="12" t="n">
        <v>0.232</v>
      </c>
    </row>
    <row r="544">
      <c r="A544" t="inlineStr">
        <is>
          <t>ORD-10097</t>
        </is>
      </c>
      <c r="B544" s="10" t="inlineStr">
        <is>
          <t>2024-07-11</t>
        </is>
      </c>
      <c r="C544" t="inlineStr">
        <is>
          <t>Customer 199</t>
        </is>
      </c>
      <c r="D544" t="inlineStr">
        <is>
          <t>South</t>
        </is>
      </c>
      <c r="E544" t="inlineStr">
        <is>
          <t>Furniture</t>
        </is>
      </c>
      <c r="F544" t="inlineStr">
        <is>
          <t>Desk</t>
        </is>
      </c>
      <c r="G544" t="inlineStr">
        <is>
          <t>Same Day</t>
        </is>
      </c>
      <c r="H544" t="n">
        <v>1</v>
      </c>
      <c r="I544" s="11" t="n">
        <v>299.05</v>
      </c>
      <c r="J544" s="12" t="n">
        <v>0</v>
      </c>
      <c r="K544" s="11" t="n">
        <v>299.05</v>
      </c>
      <c r="L544" s="11" t="n">
        <v>101.89</v>
      </c>
      <c r="M544" s="12" t="n">
        <v>0.3407</v>
      </c>
    </row>
    <row r="545">
      <c r="A545" t="inlineStr">
        <is>
          <t>ORD-10322</t>
        </is>
      </c>
      <c r="B545" s="10" t="inlineStr">
        <is>
          <t>2024-07-11</t>
        </is>
      </c>
      <c r="C545" t="inlineStr">
        <is>
          <t>Customer 3</t>
        </is>
      </c>
      <c r="D545" t="inlineStr">
        <is>
          <t>East</t>
        </is>
      </c>
      <c r="E545" t="inlineStr">
        <is>
          <t>Furniture</t>
        </is>
      </c>
      <c r="F545" t="inlineStr">
        <is>
          <t>Bookcase</t>
        </is>
      </c>
      <c r="G545" t="inlineStr">
        <is>
          <t>First Class</t>
        </is>
      </c>
      <c r="H545" t="n">
        <v>4</v>
      </c>
      <c r="I545" s="11" t="n">
        <v>1115.87</v>
      </c>
      <c r="J545" s="12" t="n">
        <v>0</v>
      </c>
      <c r="K545" s="11" t="n">
        <v>4463.48</v>
      </c>
      <c r="L545" s="11" t="n">
        <v>1350.86</v>
      </c>
      <c r="M545" s="12" t="n">
        <v>0.3026</v>
      </c>
    </row>
    <row r="546">
      <c r="A546" t="inlineStr">
        <is>
          <t>ORD-10900</t>
        </is>
      </c>
      <c r="B546" s="10" t="inlineStr">
        <is>
          <t>2024-07-11</t>
        </is>
      </c>
      <c r="C546" t="inlineStr">
        <is>
          <t>Customer 38</t>
        </is>
      </c>
      <c r="D546" t="inlineStr">
        <is>
          <t>West</t>
        </is>
      </c>
      <c r="E546" t="inlineStr">
        <is>
          <t>Office Supplies</t>
        </is>
      </c>
      <c r="F546" t="inlineStr">
        <is>
          <t>Paper</t>
        </is>
      </c>
      <c r="G546" t="inlineStr">
        <is>
          <t>First Class</t>
        </is>
      </c>
      <c r="H546" t="n">
        <v>6</v>
      </c>
      <c r="I546" s="11" t="n">
        <v>73.19</v>
      </c>
      <c r="J546" s="12" t="n">
        <v>0</v>
      </c>
      <c r="K546" s="11" t="n">
        <v>395.23</v>
      </c>
      <c r="L546" s="11" t="n">
        <v>119.04</v>
      </c>
      <c r="M546" s="12" t="n">
        <v>0.3012</v>
      </c>
    </row>
    <row r="547">
      <c r="A547" t="inlineStr">
        <is>
          <t>ORD-10130</t>
        </is>
      </c>
      <c r="B547" s="10" t="inlineStr">
        <is>
          <t>2024-07-12</t>
        </is>
      </c>
      <c r="C547" t="inlineStr">
        <is>
          <t>Customer 169</t>
        </is>
      </c>
      <c r="D547" t="inlineStr">
        <is>
          <t>South</t>
        </is>
      </c>
      <c r="E547" t="inlineStr">
        <is>
          <t>Office Supplies</t>
        </is>
      </c>
      <c r="F547" t="inlineStr">
        <is>
          <t>Paper</t>
        </is>
      </c>
      <c r="G547" t="inlineStr">
        <is>
          <t>Second Class</t>
        </is>
      </c>
      <c r="H547" t="n">
        <v>5</v>
      </c>
      <c r="I547" s="11" t="n">
        <v>1016.54</v>
      </c>
      <c r="J547" s="12" t="n">
        <v>0</v>
      </c>
      <c r="K547" s="11" t="n">
        <v>5082.7</v>
      </c>
      <c r="L547" s="11" t="n">
        <v>1805.64</v>
      </c>
      <c r="M547" s="12" t="n">
        <v>0.3553</v>
      </c>
    </row>
    <row r="548">
      <c r="A548" t="inlineStr">
        <is>
          <t>ORD-10608</t>
        </is>
      </c>
      <c r="B548" s="10" t="inlineStr">
        <is>
          <t>2024-07-12</t>
        </is>
      </c>
      <c r="C548" t="inlineStr">
        <is>
          <t>Customer 9</t>
        </is>
      </c>
      <c r="D548" t="inlineStr">
        <is>
          <t>North</t>
        </is>
      </c>
      <c r="E548" t="inlineStr">
        <is>
          <t>Technology</t>
        </is>
      </c>
      <c r="F548" t="inlineStr">
        <is>
          <t>Laptop</t>
        </is>
      </c>
      <c r="G548" t="inlineStr">
        <is>
          <t>First Class</t>
        </is>
      </c>
      <c r="H548" t="n">
        <v>4</v>
      </c>
      <c r="I548" s="11" t="n">
        <v>443.24</v>
      </c>
      <c r="J548" s="12" t="n">
        <v>0.1</v>
      </c>
      <c r="K548" s="11" t="n">
        <v>1595.66</v>
      </c>
      <c r="L548" s="11" t="n">
        <v>119.92</v>
      </c>
      <c r="M548" s="12" t="n">
        <v>0.0752</v>
      </c>
    </row>
    <row r="549">
      <c r="A549" t="inlineStr">
        <is>
          <t>ORD-11055</t>
        </is>
      </c>
      <c r="B549" s="10" t="inlineStr">
        <is>
          <t>2024-07-12</t>
        </is>
      </c>
      <c r="C549" t="inlineStr">
        <is>
          <t>Customer 40</t>
        </is>
      </c>
      <c r="D549" t="inlineStr">
        <is>
          <t>East</t>
        </is>
      </c>
      <c r="E549" t="inlineStr">
        <is>
          <t>Office Supplies</t>
        </is>
      </c>
      <c r="F549" t="inlineStr">
        <is>
          <t>Binder</t>
        </is>
      </c>
      <c r="G549" t="inlineStr">
        <is>
          <t>Same Day</t>
        </is>
      </c>
      <c r="H549" t="n">
        <v>2</v>
      </c>
      <c r="I549" s="11" t="n">
        <v>760.1900000000001</v>
      </c>
      <c r="J549" s="12" t="n">
        <v>0.1</v>
      </c>
      <c r="K549" s="11" t="n">
        <v>1368.34</v>
      </c>
      <c r="L549" s="11" t="n">
        <v>354.21</v>
      </c>
      <c r="M549" s="12" t="n">
        <v>0.2589</v>
      </c>
    </row>
    <row r="550">
      <c r="A550" t="inlineStr">
        <is>
          <t>ORD-10821</t>
        </is>
      </c>
      <c r="B550" s="10" t="inlineStr">
        <is>
          <t>2024-07-13</t>
        </is>
      </c>
      <c r="C550" t="inlineStr">
        <is>
          <t>Customer 43</t>
        </is>
      </c>
      <c r="D550" t="inlineStr">
        <is>
          <t>East</t>
        </is>
      </c>
      <c r="E550" t="inlineStr">
        <is>
          <t>Technology</t>
        </is>
      </c>
      <c r="F550" t="inlineStr">
        <is>
          <t>Laptop</t>
        </is>
      </c>
      <c r="G550" t="inlineStr">
        <is>
          <t>First Class</t>
        </is>
      </c>
      <c r="H550" t="n">
        <v>5</v>
      </c>
      <c r="I550" s="11" t="n">
        <v>791.35</v>
      </c>
      <c r="J550" s="12" t="n">
        <v>0</v>
      </c>
      <c r="K550" s="11" t="n">
        <v>3956.75</v>
      </c>
      <c r="L550" s="11" t="n">
        <v>965.11</v>
      </c>
      <c r="M550" s="12" t="n">
        <v>0.2439</v>
      </c>
    </row>
    <row r="551">
      <c r="A551" t="inlineStr">
        <is>
          <t>ORD-11025</t>
        </is>
      </c>
      <c r="B551" s="10" t="inlineStr">
        <is>
          <t>2024-07-13</t>
        </is>
      </c>
      <c r="C551" t="inlineStr">
        <is>
          <t>Customer 9</t>
        </is>
      </c>
      <c r="D551" t="inlineStr">
        <is>
          <t>North</t>
        </is>
      </c>
      <c r="E551" t="inlineStr">
        <is>
          <t>Office Supplies</t>
        </is>
      </c>
      <c r="F551" t="inlineStr">
        <is>
          <t>Binder</t>
        </is>
      </c>
      <c r="G551" t="inlineStr">
        <is>
          <t>First Class</t>
        </is>
      </c>
      <c r="H551" t="n">
        <v>10</v>
      </c>
      <c r="I551" s="11" t="n">
        <v>499.32</v>
      </c>
      <c r="J551" s="12" t="n">
        <v>0</v>
      </c>
      <c r="K551" s="11" t="n">
        <v>4993.2</v>
      </c>
      <c r="L551" s="11" t="n">
        <v>2419.75</v>
      </c>
      <c r="M551" s="12" t="n">
        <v>0.4846</v>
      </c>
    </row>
    <row r="552">
      <c r="A552" t="inlineStr">
        <is>
          <t>ORD-11806</t>
        </is>
      </c>
      <c r="B552" s="10" t="inlineStr">
        <is>
          <t>2024-07-13</t>
        </is>
      </c>
      <c r="C552" t="inlineStr">
        <is>
          <t>Customer 12</t>
        </is>
      </c>
      <c r="D552" t="inlineStr">
        <is>
          <t>West</t>
        </is>
      </c>
      <c r="E552" t="inlineStr">
        <is>
          <t>Furniture</t>
        </is>
      </c>
      <c r="F552" t="inlineStr">
        <is>
          <t>Desk</t>
        </is>
      </c>
      <c r="G552" t="inlineStr">
        <is>
          <t>First Class</t>
        </is>
      </c>
      <c r="H552" t="n">
        <v>6</v>
      </c>
      <c r="I552" s="11" t="n">
        <v>1034.03</v>
      </c>
      <c r="J552" s="12" t="n">
        <v>0</v>
      </c>
      <c r="K552" s="11" t="n">
        <v>6204.18</v>
      </c>
      <c r="L552" s="11" t="n">
        <v>1097.59</v>
      </c>
      <c r="M552" s="12" t="n">
        <v>0.1769</v>
      </c>
    </row>
    <row r="553">
      <c r="A553" t="inlineStr">
        <is>
          <t>ORD-10959</t>
        </is>
      </c>
      <c r="B553" s="10" t="inlineStr">
        <is>
          <t>2024-07-14</t>
        </is>
      </c>
      <c r="C553" t="inlineStr">
        <is>
          <t>Customer 98</t>
        </is>
      </c>
      <c r="D553" t="inlineStr">
        <is>
          <t>East</t>
        </is>
      </c>
      <c r="E553" t="inlineStr">
        <is>
          <t>Technology</t>
        </is>
      </c>
      <c r="F553" t="inlineStr">
        <is>
          <t>Monitor</t>
        </is>
      </c>
      <c r="G553" t="inlineStr">
        <is>
          <t>Second Class</t>
        </is>
      </c>
      <c r="H553" t="n">
        <v>5</v>
      </c>
      <c r="I553" s="11" t="n">
        <v>303.54</v>
      </c>
      <c r="J553" s="12" t="n">
        <v>0</v>
      </c>
      <c r="K553" s="11" t="n">
        <v>1517.7</v>
      </c>
      <c r="L553" s="11" t="n">
        <v>250.17</v>
      </c>
      <c r="M553" s="12" t="n">
        <v>0.1648</v>
      </c>
    </row>
    <row r="554">
      <c r="A554" t="inlineStr">
        <is>
          <t>ORD-10274</t>
        </is>
      </c>
      <c r="B554" s="10" t="inlineStr">
        <is>
          <t>2024-07-15</t>
        </is>
      </c>
      <c r="C554" t="inlineStr">
        <is>
          <t>Customer 134</t>
        </is>
      </c>
      <c r="D554" t="inlineStr">
        <is>
          <t>East</t>
        </is>
      </c>
      <c r="E554" t="inlineStr">
        <is>
          <t>Technology</t>
        </is>
      </c>
      <c r="F554" t="inlineStr">
        <is>
          <t>Wireless Mouse</t>
        </is>
      </c>
      <c r="G554" t="inlineStr">
        <is>
          <t>First Class</t>
        </is>
      </c>
      <c r="H554" t="n">
        <v>11</v>
      </c>
      <c r="I554" s="11" t="n">
        <v>388.42</v>
      </c>
      <c r="J554" s="12" t="n">
        <v>0</v>
      </c>
      <c r="K554" s="11" t="n">
        <v>4272.62</v>
      </c>
      <c r="L554" s="11" t="n">
        <v>1297.71</v>
      </c>
      <c r="M554" s="12" t="n">
        <v>0.3037</v>
      </c>
    </row>
    <row r="555">
      <c r="A555" t="inlineStr">
        <is>
          <t>ORD-10295</t>
        </is>
      </c>
      <c r="B555" s="10" t="inlineStr">
        <is>
          <t>2024-07-15</t>
        </is>
      </c>
      <c r="C555" t="inlineStr">
        <is>
          <t>Customer 178</t>
        </is>
      </c>
      <c r="D555" t="inlineStr">
        <is>
          <t>North</t>
        </is>
      </c>
      <c r="E555" t="inlineStr">
        <is>
          <t>Furniture</t>
        </is>
      </c>
      <c r="F555" t="inlineStr">
        <is>
          <t>Desk</t>
        </is>
      </c>
      <c r="G555" t="inlineStr">
        <is>
          <t>Second Class</t>
        </is>
      </c>
      <c r="H555" t="n">
        <v>2</v>
      </c>
      <c r="I555" s="11" t="n">
        <v>532.09</v>
      </c>
      <c r="J555" s="12" t="n">
        <v>0</v>
      </c>
      <c r="K555" s="11" t="n">
        <v>1064.18</v>
      </c>
      <c r="L555" s="11" t="n">
        <v>337.71</v>
      </c>
      <c r="M555" s="12" t="n">
        <v>0.3173</v>
      </c>
    </row>
    <row r="556">
      <c r="A556" t="inlineStr">
        <is>
          <t>ORD-11083</t>
        </is>
      </c>
      <c r="B556" s="10" t="inlineStr">
        <is>
          <t>2024-07-15</t>
        </is>
      </c>
      <c r="C556" t="inlineStr">
        <is>
          <t>Customer 104</t>
        </is>
      </c>
      <c r="D556" t="inlineStr">
        <is>
          <t>North</t>
        </is>
      </c>
      <c r="E556" t="inlineStr">
        <is>
          <t>Technology</t>
        </is>
      </c>
      <c r="F556" t="inlineStr">
        <is>
          <t>Laptop</t>
        </is>
      </c>
      <c r="G556" t="inlineStr">
        <is>
          <t>Same Day</t>
        </is>
      </c>
      <c r="H556" t="n">
        <v>4</v>
      </c>
      <c r="I556" s="11" t="n">
        <v>813.75</v>
      </c>
      <c r="J556" s="12" t="n">
        <v>0</v>
      </c>
      <c r="K556" s="11" t="n">
        <v>3255</v>
      </c>
      <c r="L556" s="11" t="n">
        <v>1362.36</v>
      </c>
      <c r="M556" s="12" t="n">
        <v>0.4185</v>
      </c>
    </row>
    <row r="557">
      <c r="A557" t="inlineStr">
        <is>
          <t>ORD-11024</t>
        </is>
      </c>
      <c r="B557" s="10" t="inlineStr">
        <is>
          <t>2024-07-16</t>
        </is>
      </c>
      <c r="C557" t="inlineStr">
        <is>
          <t>Customer 47</t>
        </is>
      </c>
      <c r="D557" t="inlineStr">
        <is>
          <t>South</t>
        </is>
      </c>
      <c r="E557" t="inlineStr">
        <is>
          <t>Furniture</t>
        </is>
      </c>
      <c r="F557" t="inlineStr">
        <is>
          <t>Chair</t>
        </is>
      </c>
      <c r="G557" t="inlineStr">
        <is>
          <t>Standard Class</t>
        </is>
      </c>
      <c r="H557" t="n">
        <v>5</v>
      </c>
      <c r="I557" s="11" t="n">
        <v>933.98</v>
      </c>
      <c r="J557" s="12" t="n">
        <v>0.2</v>
      </c>
      <c r="K557" s="11" t="n">
        <v>3735.92</v>
      </c>
      <c r="L557" s="11" t="n">
        <v>684.52</v>
      </c>
      <c r="M557" s="12" t="n">
        <v>0.1832</v>
      </c>
    </row>
    <row r="558">
      <c r="A558" t="inlineStr">
        <is>
          <t>ORD-10183</t>
        </is>
      </c>
      <c r="B558" s="10" t="inlineStr">
        <is>
          <t>2024-07-16</t>
        </is>
      </c>
      <c r="C558" t="inlineStr">
        <is>
          <t>Customer 24</t>
        </is>
      </c>
      <c r="D558" t="inlineStr">
        <is>
          <t>West</t>
        </is>
      </c>
      <c r="E558" t="inlineStr">
        <is>
          <t>Technology</t>
        </is>
      </c>
      <c r="F558" t="inlineStr">
        <is>
          <t>Monitor</t>
        </is>
      </c>
      <c r="G558" t="inlineStr">
        <is>
          <t>Same Day</t>
        </is>
      </c>
      <c r="H558" t="n">
        <v>11</v>
      </c>
      <c r="I558" s="11" t="n">
        <v>1119.67</v>
      </c>
      <c r="J558" s="12" t="n">
        <v>0</v>
      </c>
      <c r="K558" s="11" t="n">
        <v>12316.37</v>
      </c>
      <c r="L558" s="11" t="n">
        <v>4738.82</v>
      </c>
      <c r="M558" s="12" t="n">
        <v>0.3848</v>
      </c>
    </row>
    <row r="559">
      <c r="A559" t="inlineStr">
        <is>
          <t>ORD-10989</t>
        </is>
      </c>
      <c r="B559" s="10" t="inlineStr">
        <is>
          <t>2024-07-16</t>
        </is>
      </c>
      <c r="C559" t="inlineStr">
        <is>
          <t>Customer 159</t>
        </is>
      </c>
      <c r="D559" t="inlineStr">
        <is>
          <t>East</t>
        </is>
      </c>
      <c r="E559" t="inlineStr">
        <is>
          <t>Furniture</t>
        </is>
      </c>
      <c r="F559" t="inlineStr">
        <is>
          <t>Table Lamp</t>
        </is>
      </c>
      <c r="G559" t="inlineStr">
        <is>
          <t>Standard Class</t>
        </is>
      </c>
      <c r="H559" t="n">
        <v>3</v>
      </c>
      <c r="I559" s="11" t="n">
        <v>414.21</v>
      </c>
      <c r="J559" s="12" t="n">
        <v>0.3</v>
      </c>
      <c r="K559" s="11" t="n">
        <v>869.84</v>
      </c>
      <c r="L559" s="11" t="n">
        <v>116.88</v>
      </c>
      <c r="M559" s="12" t="n">
        <v>0.1344</v>
      </c>
    </row>
    <row r="560">
      <c r="A560" t="inlineStr">
        <is>
          <t>ORD-10456</t>
        </is>
      </c>
      <c r="B560" s="10" t="inlineStr">
        <is>
          <t>2024-07-16</t>
        </is>
      </c>
      <c r="C560" t="inlineStr">
        <is>
          <t>Customer 109</t>
        </is>
      </c>
      <c r="D560" t="inlineStr">
        <is>
          <t>South</t>
        </is>
      </c>
      <c r="E560" t="inlineStr">
        <is>
          <t>Office Supplies</t>
        </is>
      </c>
      <c r="F560" t="inlineStr">
        <is>
          <t>Paper</t>
        </is>
      </c>
      <c r="G560" t="inlineStr">
        <is>
          <t>Same Day</t>
        </is>
      </c>
      <c r="H560" t="n">
        <v>6</v>
      </c>
      <c r="I560" s="11" t="n">
        <v>719.35</v>
      </c>
      <c r="J560" s="12" t="n">
        <v>0</v>
      </c>
      <c r="K560" s="11" t="n">
        <v>4316.1</v>
      </c>
      <c r="L560" s="11" t="n">
        <v>1788.74</v>
      </c>
      <c r="M560" s="12" t="n">
        <v>0.4144</v>
      </c>
    </row>
    <row r="561">
      <c r="A561" t="inlineStr">
        <is>
          <t>ORD-10574</t>
        </is>
      </c>
      <c r="B561" s="10" t="inlineStr">
        <is>
          <t>2024-07-16</t>
        </is>
      </c>
      <c r="C561" t="inlineStr">
        <is>
          <t>Customer 174</t>
        </is>
      </c>
      <c r="D561" t="inlineStr">
        <is>
          <t>East</t>
        </is>
      </c>
      <c r="E561" t="inlineStr">
        <is>
          <t>Technology</t>
        </is>
      </c>
      <c r="F561" t="inlineStr">
        <is>
          <t>Printer</t>
        </is>
      </c>
      <c r="G561" t="inlineStr">
        <is>
          <t>Standard Class</t>
        </is>
      </c>
      <c r="H561" t="n">
        <v>6</v>
      </c>
      <c r="I561" s="11" t="n">
        <v>396.77</v>
      </c>
      <c r="J561" s="12" t="n">
        <v>0</v>
      </c>
      <c r="K561" s="11" t="n">
        <v>1269.66</v>
      </c>
      <c r="L561" s="11" t="n">
        <v>129.3</v>
      </c>
      <c r="M561" s="12" t="n">
        <v>0.1018</v>
      </c>
    </row>
    <row r="562">
      <c r="A562" t="inlineStr">
        <is>
          <t>ORD-10406</t>
        </is>
      </c>
      <c r="B562" s="10" t="inlineStr">
        <is>
          <t>2024-07-17</t>
        </is>
      </c>
      <c r="C562" t="inlineStr">
        <is>
          <t>Customer 126</t>
        </is>
      </c>
      <c r="D562" t="inlineStr">
        <is>
          <t>East</t>
        </is>
      </c>
      <c r="E562" t="inlineStr">
        <is>
          <t>Furniture</t>
        </is>
      </c>
      <c r="F562" t="inlineStr">
        <is>
          <t>Desk</t>
        </is>
      </c>
      <c r="G562" t="inlineStr">
        <is>
          <t>First Class</t>
        </is>
      </c>
      <c r="H562" t="n">
        <v>7</v>
      </c>
      <c r="I562" s="11" t="n">
        <v>554.74</v>
      </c>
      <c r="J562" s="12" t="n">
        <v>0</v>
      </c>
      <c r="K562" s="11" t="n">
        <v>3883.18</v>
      </c>
      <c r="L562" s="11" t="n">
        <v>1221.77</v>
      </c>
      <c r="M562" s="12" t="n">
        <v>0.3146</v>
      </c>
    </row>
    <row r="563">
      <c r="A563" t="inlineStr">
        <is>
          <t>ORD-10791</t>
        </is>
      </c>
      <c r="B563" s="10" t="inlineStr">
        <is>
          <t>2024-07-18</t>
        </is>
      </c>
      <c r="C563" t="inlineStr">
        <is>
          <t>Customer 198</t>
        </is>
      </c>
      <c r="D563" t="inlineStr">
        <is>
          <t>North</t>
        </is>
      </c>
      <c r="E563" t="inlineStr">
        <is>
          <t>Technology</t>
        </is>
      </c>
      <c r="F563" t="inlineStr">
        <is>
          <t>Printer</t>
        </is>
      </c>
      <c r="G563" t="inlineStr">
        <is>
          <t>Same Day</t>
        </is>
      </c>
      <c r="H563" t="n">
        <v>3</v>
      </c>
      <c r="I563" s="11" t="n">
        <v>133.69</v>
      </c>
      <c r="J563" s="12" t="n">
        <v>0</v>
      </c>
      <c r="K563" s="11" t="n">
        <v>401.07</v>
      </c>
      <c r="L563" s="11" t="n">
        <v>121.25</v>
      </c>
      <c r="M563" s="12" t="n">
        <v>0.3023</v>
      </c>
    </row>
    <row r="564">
      <c r="A564" t="inlineStr">
        <is>
          <t>ORD-11004</t>
        </is>
      </c>
      <c r="B564" s="10" t="inlineStr">
        <is>
          <t>2024-07-18</t>
        </is>
      </c>
      <c r="C564" t="inlineStr">
        <is>
          <t>Customer 30</t>
        </is>
      </c>
      <c r="D564" t="inlineStr">
        <is>
          <t>South</t>
        </is>
      </c>
      <c r="E564" t="inlineStr">
        <is>
          <t>Technology</t>
        </is>
      </c>
      <c r="F564" t="inlineStr">
        <is>
          <t>Wireless Mouse</t>
        </is>
      </c>
      <c r="G564" t="inlineStr">
        <is>
          <t>Same Day</t>
        </is>
      </c>
      <c r="H564" t="n">
        <v>4</v>
      </c>
      <c r="I564" s="11" t="n">
        <v>8.43</v>
      </c>
      <c r="J564" s="12" t="n">
        <v>0</v>
      </c>
      <c r="K564" s="11" t="n">
        <v>33.72</v>
      </c>
      <c r="L564" s="11" t="n">
        <v>16.71</v>
      </c>
      <c r="M564" s="12" t="n">
        <v>0.4956</v>
      </c>
    </row>
    <row r="565">
      <c r="A565" t="inlineStr">
        <is>
          <t>ORD-10991</t>
        </is>
      </c>
      <c r="B565" s="10" t="inlineStr">
        <is>
          <t>2024-07-18</t>
        </is>
      </c>
      <c r="C565" t="inlineStr">
        <is>
          <t>Customer 70</t>
        </is>
      </c>
      <c r="D565" t="inlineStr">
        <is>
          <t>South</t>
        </is>
      </c>
      <c r="E565" t="inlineStr">
        <is>
          <t>Furniture</t>
        </is>
      </c>
      <c r="F565" t="inlineStr">
        <is>
          <t>Desk</t>
        </is>
      </c>
      <c r="G565" t="inlineStr">
        <is>
          <t>Standard Class</t>
        </is>
      </c>
      <c r="H565" t="n">
        <v>2</v>
      </c>
      <c r="I565" s="11" t="n">
        <v>706.54</v>
      </c>
      <c r="J565" s="12" t="n">
        <v>0</v>
      </c>
      <c r="K565" s="11" t="n">
        <v>1413.08</v>
      </c>
      <c r="L565" s="11" t="n">
        <v>339.13</v>
      </c>
      <c r="M565" s="12" t="n">
        <v>0.24</v>
      </c>
    </row>
    <row r="566">
      <c r="A566" t="inlineStr">
        <is>
          <t>ORD-11928</t>
        </is>
      </c>
      <c r="B566" s="10" t="inlineStr">
        <is>
          <t>2024-07-18</t>
        </is>
      </c>
      <c r="C566" t="inlineStr">
        <is>
          <t>Customer 91</t>
        </is>
      </c>
      <c r="D566" t="inlineStr">
        <is>
          <t>South</t>
        </is>
      </c>
      <c r="E566" t="inlineStr">
        <is>
          <t>Technology</t>
        </is>
      </c>
      <c r="F566" t="inlineStr">
        <is>
          <t>Printer</t>
        </is>
      </c>
      <c r="G566" t="inlineStr">
        <is>
          <t>First Class</t>
        </is>
      </c>
      <c r="H566" t="n">
        <v>9</v>
      </c>
      <c r="I566" s="11" t="n">
        <v>341.67</v>
      </c>
      <c r="J566" s="12" t="n">
        <v>0.1</v>
      </c>
      <c r="K566" s="11" t="n">
        <v>2767.53</v>
      </c>
      <c r="L566" s="11" t="n">
        <v>869.72</v>
      </c>
      <c r="M566" s="12" t="n">
        <v>0.3143</v>
      </c>
    </row>
    <row r="567">
      <c r="A567" t="inlineStr">
        <is>
          <t>ORD-10337</t>
        </is>
      </c>
      <c r="B567" s="10" t="inlineStr">
        <is>
          <t>2024-07-19</t>
        </is>
      </c>
      <c r="C567" t="inlineStr">
        <is>
          <t>Customer 114</t>
        </is>
      </c>
      <c r="D567" t="inlineStr">
        <is>
          <t>South</t>
        </is>
      </c>
      <c r="E567" t="inlineStr">
        <is>
          <t>Furniture</t>
        </is>
      </c>
      <c r="F567" t="inlineStr">
        <is>
          <t>Bookcase</t>
        </is>
      </c>
      <c r="G567" t="inlineStr">
        <is>
          <t>Standard Class</t>
        </is>
      </c>
      <c r="H567" t="n">
        <v>2</v>
      </c>
      <c r="I567" s="11" t="n">
        <v>1066.19</v>
      </c>
      <c r="J567" s="12" t="n">
        <v>0.1</v>
      </c>
      <c r="K567" s="11" t="n">
        <v>1919.14</v>
      </c>
      <c r="L567" s="11" t="n">
        <v>703.84</v>
      </c>
      <c r="M567" s="12" t="n">
        <v>0.3667</v>
      </c>
    </row>
    <row r="568">
      <c r="A568" t="inlineStr">
        <is>
          <t>ORD-10467</t>
        </is>
      </c>
      <c r="B568" s="10" t="inlineStr">
        <is>
          <t>2024-07-19</t>
        </is>
      </c>
      <c r="C568" t="inlineStr">
        <is>
          <t>Customer 132</t>
        </is>
      </c>
      <c r="D568" t="inlineStr">
        <is>
          <t>East</t>
        </is>
      </c>
      <c r="E568" t="inlineStr">
        <is>
          <t>Office Supplies</t>
        </is>
      </c>
      <c r="F568" t="inlineStr">
        <is>
          <t>Paper</t>
        </is>
      </c>
      <c r="G568" t="inlineStr">
        <is>
          <t>First Class</t>
        </is>
      </c>
      <c r="H568" t="n">
        <v>5</v>
      </c>
      <c r="I568" s="11" t="n">
        <v>1081.82</v>
      </c>
      <c r="J568" s="12" t="n">
        <v>0</v>
      </c>
      <c r="K568" s="11" t="n">
        <v>5409.1</v>
      </c>
      <c r="L568" s="11" t="n">
        <v>2623.22</v>
      </c>
      <c r="M568" s="12" t="n">
        <v>0.485</v>
      </c>
    </row>
    <row r="569">
      <c r="A569" t="inlineStr">
        <is>
          <t>ORD-10990</t>
        </is>
      </c>
      <c r="B569" s="10" t="inlineStr">
        <is>
          <t>2024-07-19</t>
        </is>
      </c>
      <c r="C569" t="inlineStr">
        <is>
          <t>Customer 118</t>
        </is>
      </c>
      <c r="D569" t="inlineStr">
        <is>
          <t>North</t>
        </is>
      </c>
      <c r="E569" t="inlineStr">
        <is>
          <t>Furniture</t>
        </is>
      </c>
      <c r="F569" t="inlineStr">
        <is>
          <t>Chair</t>
        </is>
      </c>
      <c r="G569" t="inlineStr">
        <is>
          <t>Second Class</t>
        </is>
      </c>
      <c r="H569" t="n">
        <v>4</v>
      </c>
      <c r="I569" s="11" t="n">
        <v>1190.9</v>
      </c>
      <c r="J569" s="12" t="n">
        <v>0.1</v>
      </c>
      <c r="K569" s="11" t="n">
        <v>4287.24</v>
      </c>
      <c r="L569" s="11" t="n">
        <v>1820.97</v>
      </c>
      <c r="M569" s="12" t="n">
        <v>0.4247</v>
      </c>
    </row>
    <row r="570">
      <c r="A570" t="inlineStr">
        <is>
          <t>ORD-11763</t>
        </is>
      </c>
      <c r="B570" s="10" t="inlineStr">
        <is>
          <t>2024-07-20</t>
        </is>
      </c>
      <c r="C570" t="inlineStr">
        <is>
          <t>Customer 159</t>
        </is>
      </c>
      <c r="D570" t="inlineStr">
        <is>
          <t>East</t>
        </is>
      </c>
      <c r="E570" t="inlineStr">
        <is>
          <t>Furniture</t>
        </is>
      </c>
      <c r="F570" t="inlineStr">
        <is>
          <t>Table Lamp</t>
        </is>
      </c>
      <c r="G570" t="inlineStr">
        <is>
          <t>Same Day</t>
        </is>
      </c>
      <c r="H570" t="n">
        <v>8</v>
      </c>
      <c r="I570" s="11" t="n">
        <v>520.1799999999999</v>
      </c>
      <c r="J570" s="12" t="n">
        <v>0</v>
      </c>
      <c r="K570" s="11" t="n">
        <v>4161.44</v>
      </c>
      <c r="L570" s="11" t="n">
        <v>680.92</v>
      </c>
      <c r="M570" s="12" t="n">
        <v>0.1636</v>
      </c>
    </row>
    <row r="571">
      <c r="A571" t="inlineStr">
        <is>
          <t>ORD-11762</t>
        </is>
      </c>
      <c r="B571" s="10" t="inlineStr">
        <is>
          <t>2024-07-20</t>
        </is>
      </c>
      <c r="C571" t="inlineStr">
        <is>
          <t>Customer 160</t>
        </is>
      </c>
      <c r="D571" t="inlineStr">
        <is>
          <t>West</t>
        </is>
      </c>
      <c r="E571" t="inlineStr">
        <is>
          <t>Technology</t>
        </is>
      </c>
      <c r="F571" t="inlineStr">
        <is>
          <t>Monitor</t>
        </is>
      </c>
      <c r="G571" t="inlineStr">
        <is>
          <t>First Class</t>
        </is>
      </c>
      <c r="H571" t="n">
        <v>5</v>
      </c>
      <c r="I571" s="11" t="n">
        <v>785.03</v>
      </c>
      <c r="J571" s="12" t="n">
        <v>0</v>
      </c>
      <c r="K571" s="11" t="n">
        <v>3925.15</v>
      </c>
      <c r="L571" s="11" t="n">
        <v>780.9400000000001</v>
      </c>
      <c r="M571" s="12" t="n">
        <v>0.199</v>
      </c>
    </row>
    <row r="572">
      <c r="A572" t="inlineStr">
        <is>
          <t>ORD-10913</t>
        </is>
      </c>
      <c r="B572" s="10" t="inlineStr">
        <is>
          <t>2024-07-20</t>
        </is>
      </c>
      <c r="C572" t="inlineStr">
        <is>
          <t>Customer 140</t>
        </is>
      </c>
      <c r="D572" t="inlineStr">
        <is>
          <t>South</t>
        </is>
      </c>
      <c r="E572" t="inlineStr">
        <is>
          <t>Office Supplies</t>
        </is>
      </c>
      <c r="F572" t="inlineStr">
        <is>
          <t>Paper</t>
        </is>
      </c>
      <c r="G572" t="inlineStr">
        <is>
          <t>Same Day</t>
        </is>
      </c>
      <c r="H572" t="n">
        <v>2</v>
      </c>
      <c r="I572" s="11" t="n">
        <v>445.5</v>
      </c>
      <c r="J572" s="12" t="n">
        <v>0</v>
      </c>
      <c r="K572" s="11" t="n">
        <v>891</v>
      </c>
      <c r="L572" s="11" t="n">
        <v>406.69</v>
      </c>
      <c r="M572" s="12" t="n">
        <v>0.4564</v>
      </c>
    </row>
    <row r="573">
      <c r="A573" t="inlineStr">
        <is>
          <t>ORD-10941</t>
        </is>
      </c>
      <c r="B573" s="10" t="inlineStr">
        <is>
          <t>2024-07-20</t>
        </is>
      </c>
      <c r="C573" t="inlineStr">
        <is>
          <t>Customer 35</t>
        </is>
      </c>
      <c r="D573" t="inlineStr">
        <is>
          <t>West</t>
        </is>
      </c>
      <c r="E573" t="inlineStr">
        <is>
          <t>Furniture</t>
        </is>
      </c>
      <c r="F573" t="inlineStr">
        <is>
          <t>Desk</t>
        </is>
      </c>
      <c r="G573" t="inlineStr">
        <is>
          <t>First Class</t>
        </is>
      </c>
      <c r="H573" t="n">
        <v>9</v>
      </c>
      <c r="I573" s="11" t="n">
        <v>461.48</v>
      </c>
      <c r="J573" s="12" t="n">
        <v>0</v>
      </c>
      <c r="K573" s="11" t="n">
        <v>4153.32</v>
      </c>
      <c r="L573" s="11" t="n">
        <v>1716.62</v>
      </c>
      <c r="M573" s="12" t="n">
        <v>0.4133</v>
      </c>
    </row>
    <row r="574">
      <c r="A574" t="inlineStr">
        <is>
          <t>ORD-11903</t>
        </is>
      </c>
      <c r="B574" s="10" t="inlineStr">
        <is>
          <t>2024-07-21</t>
        </is>
      </c>
      <c r="C574" t="inlineStr">
        <is>
          <t>Customer 85</t>
        </is>
      </c>
      <c r="D574" t="inlineStr">
        <is>
          <t>East</t>
        </is>
      </c>
      <c r="E574" t="inlineStr">
        <is>
          <t>Furniture</t>
        </is>
      </c>
      <c r="F574" t="inlineStr">
        <is>
          <t>Bookcase</t>
        </is>
      </c>
      <c r="G574" t="inlineStr">
        <is>
          <t>Same Day</t>
        </is>
      </c>
      <c r="H574" t="n">
        <v>10</v>
      </c>
      <c r="I574" s="11" t="n">
        <v>935.45</v>
      </c>
      <c r="J574" s="12" t="n">
        <v>0</v>
      </c>
      <c r="K574" s="11" t="n">
        <v>9354.5</v>
      </c>
      <c r="L574" s="11" t="n">
        <v>4296.27</v>
      </c>
      <c r="M574" s="12" t="n">
        <v>0.4593</v>
      </c>
    </row>
    <row r="575">
      <c r="A575" t="inlineStr">
        <is>
          <t>ORD-11219</t>
        </is>
      </c>
      <c r="B575" s="10" t="inlineStr">
        <is>
          <t>2024-07-21</t>
        </is>
      </c>
      <c r="C575" t="inlineStr">
        <is>
          <t>Customer 160</t>
        </is>
      </c>
      <c r="D575" t="inlineStr">
        <is>
          <t>West</t>
        </is>
      </c>
      <c r="E575" t="inlineStr">
        <is>
          <t>Office Supplies</t>
        </is>
      </c>
      <c r="F575" t="inlineStr">
        <is>
          <t>Binder</t>
        </is>
      </c>
      <c r="G575" t="inlineStr">
        <is>
          <t>Standard Class</t>
        </is>
      </c>
      <c r="H575" t="n">
        <v>4</v>
      </c>
      <c r="I575" s="11" t="n">
        <v>752.5700000000001</v>
      </c>
      <c r="J575" s="12" t="n">
        <v>0</v>
      </c>
      <c r="K575" s="11" t="n">
        <v>3010.28</v>
      </c>
      <c r="L575" s="11" t="n">
        <v>1227.38</v>
      </c>
      <c r="M575" s="12" t="n">
        <v>0.4077</v>
      </c>
    </row>
    <row r="576">
      <c r="A576" t="inlineStr">
        <is>
          <t>ORD-10965</t>
        </is>
      </c>
      <c r="B576" s="10" t="inlineStr">
        <is>
          <t>2024-07-22</t>
        </is>
      </c>
      <c r="C576" t="inlineStr">
        <is>
          <t>Customer 197</t>
        </is>
      </c>
      <c r="D576" t="inlineStr">
        <is>
          <t>South</t>
        </is>
      </c>
      <c r="E576" t="inlineStr">
        <is>
          <t>Technology</t>
        </is>
      </c>
      <c r="F576" t="inlineStr">
        <is>
          <t>Laptop</t>
        </is>
      </c>
      <c r="G576" t="inlineStr">
        <is>
          <t>Second Class</t>
        </is>
      </c>
      <c r="H576" t="n">
        <v>3</v>
      </c>
      <c r="I576" s="11" t="n">
        <v>666.3099999999999</v>
      </c>
      <c r="J576" s="12" t="n">
        <v>0.1</v>
      </c>
      <c r="K576" s="11" t="n">
        <v>1799.04</v>
      </c>
      <c r="L576" s="11" t="n">
        <v>183.09</v>
      </c>
      <c r="M576" s="12" t="n">
        <v>0.1018</v>
      </c>
    </row>
    <row r="577">
      <c r="A577" t="inlineStr">
        <is>
          <t>ORD-10444</t>
        </is>
      </c>
      <c r="B577" s="10" t="inlineStr">
        <is>
          <t>2024-07-22</t>
        </is>
      </c>
      <c r="C577" t="inlineStr">
        <is>
          <t>Customer 92</t>
        </is>
      </c>
      <c r="D577" t="inlineStr">
        <is>
          <t>West</t>
        </is>
      </c>
      <c r="E577" t="inlineStr">
        <is>
          <t>Furniture</t>
        </is>
      </c>
      <c r="F577" t="inlineStr">
        <is>
          <t>Bookcase</t>
        </is>
      </c>
      <c r="G577" t="inlineStr">
        <is>
          <t>Standard Class</t>
        </is>
      </c>
      <c r="H577" t="n">
        <v>10</v>
      </c>
      <c r="I577" s="11" t="n">
        <v>123.91</v>
      </c>
      <c r="J577" s="12" t="n">
        <v>0</v>
      </c>
      <c r="K577" s="11" t="n">
        <v>1239.1</v>
      </c>
      <c r="L577" s="11" t="n">
        <v>590.77</v>
      </c>
      <c r="M577" s="12" t="n">
        <v>0.4768</v>
      </c>
    </row>
    <row r="578">
      <c r="A578" t="inlineStr">
        <is>
          <t>ORD-11645</t>
        </is>
      </c>
      <c r="B578" s="10" t="inlineStr">
        <is>
          <t>2024-07-22</t>
        </is>
      </c>
      <c r="C578" t="inlineStr">
        <is>
          <t>Customer 168</t>
        </is>
      </c>
      <c r="D578" t="inlineStr">
        <is>
          <t>North</t>
        </is>
      </c>
      <c r="E578" t="inlineStr">
        <is>
          <t>Office Supplies</t>
        </is>
      </c>
      <c r="F578" t="inlineStr">
        <is>
          <t>Paper</t>
        </is>
      </c>
      <c r="G578" t="inlineStr">
        <is>
          <t>Same Day</t>
        </is>
      </c>
      <c r="H578" t="n">
        <v>2</v>
      </c>
      <c r="I578" s="11" t="n">
        <v>41.12</v>
      </c>
      <c r="J578" s="12" t="n">
        <v>0</v>
      </c>
      <c r="K578" s="11" t="n">
        <v>82.23999999999999</v>
      </c>
      <c r="L578" s="11" t="n">
        <v>14.13</v>
      </c>
      <c r="M578" s="12" t="n">
        <v>0.1718</v>
      </c>
    </row>
    <row r="579">
      <c r="A579" t="inlineStr">
        <is>
          <t>ORD-10147</t>
        </is>
      </c>
      <c r="B579" s="10" t="inlineStr">
        <is>
          <t>2024-07-23</t>
        </is>
      </c>
      <c r="C579" t="inlineStr">
        <is>
          <t>Customer 130</t>
        </is>
      </c>
      <c r="D579" t="inlineStr">
        <is>
          <t>East</t>
        </is>
      </c>
      <c r="E579" t="inlineStr">
        <is>
          <t>Furniture</t>
        </is>
      </c>
      <c r="F579" t="inlineStr">
        <is>
          <t>Table Lamp</t>
        </is>
      </c>
      <c r="G579" t="inlineStr">
        <is>
          <t>Second Class</t>
        </is>
      </c>
      <c r="H579" t="n">
        <v>8</v>
      </c>
      <c r="I579" s="11" t="n">
        <v>159.59</v>
      </c>
      <c r="J579" s="12" t="n">
        <v>0</v>
      </c>
      <c r="K579" s="11" t="n">
        <v>1276.72</v>
      </c>
      <c r="L579" s="11" t="n">
        <v>576.4</v>
      </c>
      <c r="M579" s="12" t="n">
        <v>0.4515</v>
      </c>
    </row>
    <row r="580">
      <c r="A580" t="inlineStr">
        <is>
          <t>ORD-11998</t>
        </is>
      </c>
      <c r="B580" s="10" t="inlineStr">
        <is>
          <t>2024-07-24</t>
        </is>
      </c>
      <c r="C580" t="inlineStr">
        <is>
          <t>Customer 190</t>
        </is>
      </c>
      <c r="D580" t="inlineStr">
        <is>
          <t>South</t>
        </is>
      </c>
      <c r="E580" t="inlineStr">
        <is>
          <t>Technology</t>
        </is>
      </c>
      <c r="F580" t="inlineStr">
        <is>
          <t>Monitor</t>
        </is>
      </c>
      <c r="G580" t="inlineStr">
        <is>
          <t>Second Class</t>
        </is>
      </c>
      <c r="H580" t="n">
        <v>11</v>
      </c>
      <c r="I580" s="11" t="n">
        <v>752.05</v>
      </c>
      <c r="J580" s="12" t="n">
        <v>0</v>
      </c>
      <c r="K580" s="11" t="n">
        <v>8272.549999999999</v>
      </c>
      <c r="L580" s="11" t="n">
        <v>2026.23</v>
      </c>
      <c r="M580" s="12" t="n">
        <v>0.2449</v>
      </c>
    </row>
    <row r="581">
      <c r="A581" t="inlineStr">
        <is>
          <t>ORD-11746</t>
        </is>
      </c>
      <c r="B581" s="10" t="inlineStr">
        <is>
          <t>2024-07-24</t>
        </is>
      </c>
      <c r="C581" t="inlineStr">
        <is>
          <t>Customer 2</t>
        </is>
      </c>
      <c r="D581" t="inlineStr">
        <is>
          <t>West</t>
        </is>
      </c>
      <c r="E581" t="inlineStr">
        <is>
          <t>Office Supplies</t>
        </is>
      </c>
      <c r="F581" t="inlineStr">
        <is>
          <t>Paper</t>
        </is>
      </c>
      <c r="G581" t="inlineStr">
        <is>
          <t>First Class</t>
        </is>
      </c>
      <c r="H581" t="n">
        <v>5</v>
      </c>
      <c r="I581" s="11" t="n">
        <v>35.65</v>
      </c>
      <c r="J581" s="12" t="n">
        <v>0.1</v>
      </c>
      <c r="K581" s="11" t="n">
        <v>160.43</v>
      </c>
      <c r="L581" s="11" t="n">
        <v>55.34</v>
      </c>
      <c r="M581" s="12" t="n">
        <v>0.3449</v>
      </c>
    </row>
    <row r="582">
      <c r="A582" t="inlineStr">
        <is>
          <t>ORD-10511</t>
        </is>
      </c>
      <c r="B582" s="10" t="inlineStr">
        <is>
          <t>2024-07-25</t>
        </is>
      </c>
      <c r="C582" t="inlineStr">
        <is>
          <t>Customer 54</t>
        </is>
      </c>
      <c r="D582" t="inlineStr">
        <is>
          <t>South</t>
        </is>
      </c>
      <c r="E582" t="inlineStr">
        <is>
          <t>Furniture</t>
        </is>
      </c>
      <c r="F582" t="inlineStr">
        <is>
          <t>Desk</t>
        </is>
      </c>
      <c r="G582" t="inlineStr">
        <is>
          <t>Second Class</t>
        </is>
      </c>
      <c r="H582" t="n">
        <v>7</v>
      </c>
      <c r="I582" s="11" t="n">
        <v>945.21</v>
      </c>
      <c r="J582" s="12" t="n">
        <v>0</v>
      </c>
      <c r="K582" s="11" t="n">
        <v>6616.47</v>
      </c>
      <c r="L582" s="11" t="n">
        <v>1339.18</v>
      </c>
      <c r="M582" s="12" t="n">
        <v>0.2024</v>
      </c>
    </row>
    <row r="583">
      <c r="A583" t="inlineStr">
        <is>
          <t>ORD-11861</t>
        </is>
      </c>
      <c r="B583" s="10" t="inlineStr">
        <is>
          <t>2024-07-25</t>
        </is>
      </c>
      <c r="C583" t="inlineStr">
        <is>
          <t>Customer 200</t>
        </is>
      </c>
      <c r="D583" t="inlineStr">
        <is>
          <t>West</t>
        </is>
      </c>
      <c r="E583" t="inlineStr">
        <is>
          <t>Technology</t>
        </is>
      </c>
      <c r="F583" t="inlineStr">
        <is>
          <t>Monitor</t>
        </is>
      </c>
      <c r="G583" t="inlineStr">
        <is>
          <t>First Class</t>
        </is>
      </c>
      <c r="H583" t="n">
        <v>2</v>
      </c>
      <c r="I583" s="11" t="n">
        <v>107.33</v>
      </c>
      <c r="J583" s="12" t="n">
        <v>0</v>
      </c>
      <c r="K583" s="11" t="n">
        <v>214.66</v>
      </c>
      <c r="L583" s="11" t="n">
        <v>88.62</v>
      </c>
      <c r="M583" s="12" t="n">
        <v>0.4128</v>
      </c>
    </row>
    <row r="584">
      <c r="A584" t="inlineStr">
        <is>
          <t>ORD-10932</t>
        </is>
      </c>
      <c r="B584" s="10" t="inlineStr">
        <is>
          <t>2024-07-25</t>
        </is>
      </c>
      <c r="C584" t="inlineStr">
        <is>
          <t>Customer 172</t>
        </is>
      </c>
      <c r="D584" t="inlineStr">
        <is>
          <t>North</t>
        </is>
      </c>
      <c r="E584" t="inlineStr">
        <is>
          <t>Furniture</t>
        </is>
      </c>
      <c r="F584" t="inlineStr">
        <is>
          <t>Desk</t>
        </is>
      </c>
      <c r="G584" t="inlineStr">
        <is>
          <t>Standard Class</t>
        </is>
      </c>
      <c r="H584" t="n">
        <v>11</v>
      </c>
      <c r="I584" s="11" t="n">
        <v>509.91</v>
      </c>
      <c r="J584" s="12" t="n">
        <v>0</v>
      </c>
      <c r="K584" s="11" t="n">
        <v>5609.01</v>
      </c>
      <c r="L584" s="11" t="n">
        <v>1918.57</v>
      </c>
      <c r="M584" s="12" t="n">
        <v>0.3421</v>
      </c>
    </row>
    <row r="585">
      <c r="A585" t="inlineStr">
        <is>
          <t>ORD-11238</t>
        </is>
      </c>
      <c r="B585" s="10" t="inlineStr">
        <is>
          <t>2024-07-25</t>
        </is>
      </c>
      <c r="C585" t="inlineStr">
        <is>
          <t>Customer 40</t>
        </is>
      </c>
      <c r="D585" t="inlineStr">
        <is>
          <t>East</t>
        </is>
      </c>
      <c r="E585" t="inlineStr">
        <is>
          <t>Furniture</t>
        </is>
      </c>
      <c r="F585" t="inlineStr">
        <is>
          <t>Desk</t>
        </is>
      </c>
      <c r="G585" t="inlineStr">
        <is>
          <t>Second Class</t>
        </is>
      </c>
      <c r="H585" t="n">
        <v>4</v>
      </c>
      <c r="I585" s="11" t="n">
        <v>408.93</v>
      </c>
      <c r="J585" s="12" t="n">
        <v>0</v>
      </c>
      <c r="K585" s="11" t="n">
        <v>1635.72</v>
      </c>
      <c r="L585" s="11" t="n">
        <v>483.77</v>
      </c>
      <c r="M585" s="12" t="n">
        <v>0.2958</v>
      </c>
    </row>
    <row r="586">
      <c r="A586" t="inlineStr">
        <is>
          <t>ORD-10576</t>
        </is>
      </c>
      <c r="B586" s="10" t="inlineStr">
        <is>
          <t>2024-07-25</t>
        </is>
      </c>
      <c r="C586" t="inlineStr">
        <is>
          <t>Customer 120</t>
        </is>
      </c>
      <c r="D586" t="inlineStr">
        <is>
          <t>North</t>
        </is>
      </c>
      <c r="E586" t="inlineStr">
        <is>
          <t>Office Supplies</t>
        </is>
      </c>
      <c r="F586" t="inlineStr">
        <is>
          <t>Pens (Box)</t>
        </is>
      </c>
      <c r="G586" t="inlineStr">
        <is>
          <t>First Class</t>
        </is>
      </c>
      <c r="H586" t="n">
        <v>5</v>
      </c>
      <c r="I586" s="11" t="n">
        <v>820.66</v>
      </c>
      <c r="J586" s="12" t="n">
        <v>0</v>
      </c>
      <c r="K586" s="11" t="n">
        <v>4103.3</v>
      </c>
      <c r="L586" s="11" t="n">
        <v>1114.37</v>
      </c>
      <c r="M586" s="12" t="n">
        <v>0.2716</v>
      </c>
    </row>
    <row r="587">
      <c r="A587" t="inlineStr">
        <is>
          <t>ORD-11540</t>
        </is>
      </c>
      <c r="B587" s="10" t="inlineStr">
        <is>
          <t>2024-07-26</t>
        </is>
      </c>
      <c r="C587" t="inlineStr">
        <is>
          <t>Customer 187</t>
        </is>
      </c>
      <c r="D587" t="inlineStr">
        <is>
          <t>North</t>
        </is>
      </c>
      <c r="E587" t="inlineStr">
        <is>
          <t>Office Supplies</t>
        </is>
      </c>
      <c r="F587" t="inlineStr">
        <is>
          <t>Stapler</t>
        </is>
      </c>
      <c r="G587" t="inlineStr">
        <is>
          <t>Second Class</t>
        </is>
      </c>
      <c r="H587" t="n">
        <v>2</v>
      </c>
      <c r="I587" s="11" t="n">
        <v>395.62</v>
      </c>
      <c r="J587" s="12" t="n">
        <v>0.2</v>
      </c>
      <c r="K587" s="11" t="n">
        <v>632.99</v>
      </c>
      <c r="L587" s="11" t="n">
        <v>-0.97</v>
      </c>
      <c r="M587" s="12" t="n">
        <v>-0.0015</v>
      </c>
    </row>
    <row r="588">
      <c r="A588" t="inlineStr">
        <is>
          <t>ORD-10966</t>
        </is>
      </c>
      <c r="B588" s="10" t="inlineStr">
        <is>
          <t>2024-07-26</t>
        </is>
      </c>
      <c r="C588" t="inlineStr">
        <is>
          <t>Customer 171</t>
        </is>
      </c>
      <c r="D588" t="inlineStr">
        <is>
          <t>North</t>
        </is>
      </c>
      <c r="E588" t="inlineStr">
        <is>
          <t>Furniture</t>
        </is>
      </c>
      <c r="F588" t="inlineStr">
        <is>
          <t>Bookcase</t>
        </is>
      </c>
      <c r="G588" t="inlineStr">
        <is>
          <t>Second Class</t>
        </is>
      </c>
      <c r="H588" t="n">
        <v>10</v>
      </c>
      <c r="I588" s="11" t="n">
        <v>249.35</v>
      </c>
      <c r="J588" s="12" t="n">
        <v>0</v>
      </c>
      <c r="K588" s="11" t="n">
        <v>2493.5</v>
      </c>
      <c r="L588" s="11" t="n">
        <v>482.48</v>
      </c>
      <c r="M588" s="12" t="n">
        <v>0.1935</v>
      </c>
    </row>
    <row r="589">
      <c r="A589" t="inlineStr">
        <is>
          <t>ORD-10411</t>
        </is>
      </c>
      <c r="B589" s="10" t="inlineStr">
        <is>
          <t>2024-07-26</t>
        </is>
      </c>
      <c r="C589" t="inlineStr">
        <is>
          <t>Customer 146</t>
        </is>
      </c>
      <c r="D589" t="inlineStr">
        <is>
          <t>West</t>
        </is>
      </c>
      <c r="E589" t="inlineStr">
        <is>
          <t>Office Supplies</t>
        </is>
      </c>
      <c r="F589" t="inlineStr">
        <is>
          <t>Stapler</t>
        </is>
      </c>
      <c r="G589" t="inlineStr">
        <is>
          <t>Second Class</t>
        </is>
      </c>
      <c r="H589" t="n">
        <v>5</v>
      </c>
      <c r="I589" s="11" t="n">
        <v>812.04</v>
      </c>
      <c r="J589" s="12" t="n">
        <v>0.15</v>
      </c>
      <c r="K589" s="11" t="n">
        <v>3451.17</v>
      </c>
      <c r="L589" s="11" t="n">
        <v>12.79</v>
      </c>
      <c r="M589" s="12" t="n">
        <v>0.0037</v>
      </c>
    </row>
    <row r="590">
      <c r="A590" t="inlineStr">
        <is>
          <t>ORD-11514</t>
        </is>
      </c>
      <c r="B590" s="10" t="inlineStr">
        <is>
          <t>2024-07-26</t>
        </is>
      </c>
      <c r="C590" t="inlineStr">
        <is>
          <t>Customer 23</t>
        </is>
      </c>
      <c r="D590" t="inlineStr">
        <is>
          <t>North</t>
        </is>
      </c>
      <c r="E590" t="inlineStr">
        <is>
          <t>Furniture</t>
        </is>
      </c>
      <c r="F590" t="inlineStr">
        <is>
          <t>Desk</t>
        </is>
      </c>
      <c r="G590" t="inlineStr">
        <is>
          <t>Same Day</t>
        </is>
      </c>
      <c r="H590" t="n">
        <v>2</v>
      </c>
      <c r="I590" s="11" t="n">
        <v>330.96</v>
      </c>
      <c r="J590" s="12" t="n">
        <v>0.1</v>
      </c>
      <c r="K590" s="11" t="n">
        <v>595.73</v>
      </c>
      <c r="L590" s="11" t="n">
        <v>101.18</v>
      </c>
      <c r="M590" s="12" t="n">
        <v>0.1698</v>
      </c>
    </row>
    <row r="591">
      <c r="A591" t="inlineStr">
        <is>
          <t>ORD-11253</t>
        </is>
      </c>
      <c r="B591" s="10" t="inlineStr">
        <is>
          <t>2024-07-27</t>
        </is>
      </c>
      <c r="C591" t="inlineStr">
        <is>
          <t>Customer 160</t>
        </is>
      </c>
      <c r="D591" t="inlineStr">
        <is>
          <t>West</t>
        </is>
      </c>
      <c r="E591" t="inlineStr">
        <is>
          <t>Office Supplies</t>
        </is>
      </c>
      <c r="F591" t="inlineStr">
        <is>
          <t>Pens (Box)</t>
        </is>
      </c>
      <c r="G591" t="inlineStr">
        <is>
          <t>Standard Class</t>
        </is>
      </c>
      <c r="H591" t="n">
        <v>5</v>
      </c>
      <c r="I591" s="11" t="n">
        <v>75.67</v>
      </c>
      <c r="J591" s="12" t="n">
        <v>0.3</v>
      </c>
      <c r="K591" s="11" t="n">
        <v>264.85</v>
      </c>
      <c r="L591" s="11" t="n">
        <v>-56.03</v>
      </c>
      <c r="M591" s="12" t="n">
        <v>-0.2116</v>
      </c>
    </row>
    <row r="592">
      <c r="A592" t="inlineStr">
        <is>
          <t>ORD-11113</t>
        </is>
      </c>
      <c r="B592" s="10" t="inlineStr">
        <is>
          <t>2024-07-27</t>
        </is>
      </c>
      <c r="C592" t="inlineStr">
        <is>
          <t>Customer 67</t>
        </is>
      </c>
      <c r="D592" t="inlineStr">
        <is>
          <t>West</t>
        </is>
      </c>
      <c r="E592" t="inlineStr">
        <is>
          <t>Furniture</t>
        </is>
      </c>
      <c r="F592" t="inlineStr">
        <is>
          <t>Bookcase</t>
        </is>
      </c>
      <c r="G592" t="inlineStr">
        <is>
          <t>First Class</t>
        </is>
      </c>
      <c r="H592" t="n">
        <v>5</v>
      </c>
      <c r="I592" s="11" t="n">
        <v>257.79</v>
      </c>
      <c r="J592" s="12" t="n">
        <v>0.15</v>
      </c>
      <c r="K592" s="11" t="n">
        <v>1095.61</v>
      </c>
      <c r="L592" s="11" t="n">
        <v>288.2</v>
      </c>
      <c r="M592" s="12" t="n">
        <v>0.263</v>
      </c>
    </row>
    <row r="593">
      <c r="A593" t="inlineStr">
        <is>
          <t>ORD-11599</t>
        </is>
      </c>
      <c r="B593" s="10" t="inlineStr">
        <is>
          <t>2024-07-27</t>
        </is>
      </c>
      <c r="C593" t="inlineStr">
        <is>
          <t>Customer 162</t>
        </is>
      </c>
      <c r="D593" t="inlineStr">
        <is>
          <t>East</t>
        </is>
      </c>
      <c r="E593" t="inlineStr">
        <is>
          <t>Furniture</t>
        </is>
      </c>
      <c r="F593" t="inlineStr">
        <is>
          <t>Desk</t>
        </is>
      </c>
      <c r="G593" t="inlineStr">
        <is>
          <t>First Class</t>
        </is>
      </c>
      <c r="H593" t="n">
        <v>11</v>
      </c>
      <c r="I593" s="11" t="n">
        <v>765.46</v>
      </c>
      <c r="J593" s="12" t="n">
        <v>0</v>
      </c>
      <c r="K593" s="11" t="n">
        <v>8420.059999999999</v>
      </c>
      <c r="L593" s="11" t="n">
        <v>2883.77</v>
      </c>
      <c r="M593" s="12" t="n">
        <v>0.3425</v>
      </c>
    </row>
    <row r="594">
      <c r="A594" t="inlineStr">
        <is>
          <t>ORD-11736</t>
        </is>
      </c>
      <c r="B594" s="10" t="inlineStr">
        <is>
          <t>2024-07-28</t>
        </is>
      </c>
      <c r="C594" t="inlineStr">
        <is>
          <t>Customer 7</t>
        </is>
      </c>
      <c r="D594" t="inlineStr">
        <is>
          <t>North</t>
        </is>
      </c>
      <c r="E594" t="inlineStr">
        <is>
          <t>Furniture</t>
        </is>
      </c>
      <c r="F594" t="inlineStr">
        <is>
          <t>Bookcase</t>
        </is>
      </c>
      <c r="G594" t="inlineStr">
        <is>
          <t>First Class</t>
        </is>
      </c>
      <c r="H594" t="n">
        <v>1</v>
      </c>
      <c r="I594" s="11" t="n">
        <v>780.27</v>
      </c>
      <c r="J594" s="12" t="n">
        <v>0</v>
      </c>
      <c r="K594" s="11" t="n">
        <v>780.27</v>
      </c>
      <c r="L594" s="11" t="n">
        <v>264.82</v>
      </c>
      <c r="M594" s="12" t="n">
        <v>0.3394</v>
      </c>
    </row>
    <row r="595">
      <c r="A595" t="inlineStr">
        <is>
          <t>ORD-11299</t>
        </is>
      </c>
      <c r="B595" s="10" t="inlineStr">
        <is>
          <t>2024-07-28</t>
        </is>
      </c>
      <c r="C595" t="inlineStr">
        <is>
          <t>Customer 30</t>
        </is>
      </c>
      <c r="D595" t="inlineStr">
        <is>
          <t>South</t>
        </is>
      </c>
      <c r="E595" t="inlineStr">
        <is>
          <t>Office Supplies</t>
        </is>
      </c>
      <c r="F595" t="inlineStr">
        <is>
          <t>Stapler</t>
        </is>
      </c>
      <c r="G595" t="inlineStr">
        <is>
          <t>Same Day</t>
        </is>
      </c>
      <c r="H595" t="n">
        <v>2</v>
      </c>
      <c r="I595" s="11" t="n">
        <v>312.2</v>
      </c>
      <c r="J595" s="12" t="n">
        <v>0</v>
      </c>
      <c r="K595" s="11" t="n">
        <v>624.4</v>
      </c>
      <c r="L595" s="11" t="n">
        <v>310.57</v>
      </c>
      <c r="M595" s="12" t="n">
        <v>0.4974</v>
      </c>
    </row>
    <row r="596">
      <c r="A596" t="inlineStr">
        <is>
          <t>ORD-10476</t>
        </is>
      </c>
      <c r="B596" s="10" t="inlineStr">
        <is>
          <t>2024-07-29</t>
        </is>
      </c>
      <c r="C596" t="inlineStr">
        <is>
          <t>Customer 121</t>
        </is>
      </c>
      <c r="D596" t="inlineStr">
        <is>
          <t>South</t>
        </is>
      </c>
      <c r="E596" t="inlineStr">
        <is>
          <t>Furniture</t>
        </is>
      </c>
      <c r="F596" t="inlineStr">
        <is>
          <t>Chair</t>
        </is>
      </c>
      <c r="G596" t="inlineStr">
        <is>
          <t>First Class</t>
        </is>
      </c>
      <c r="H596" t="n">
        <v>7</v>
      </c>
      <c r="I596" s="11" t="n">
        <v>238.06</v>
      </c>
      <c r="J596" s="12" t="n">
        <v>0</v>
      </c>
      <c r="K596" s="11" t="n">
        <v>1666.42</v>
      </c>
      <c r="L596" s="11" t="n">
        <v>510.42</v>
      </c>
      <c r="M596" s="12" t="n">
        <v>0.3063</v>
      </c>
    </row>
    <row r="597">
      <c r="A597" t="inlineStr">
        <is>
          <t>ORD-11858</t>
        </is>
      </c>
      <c r="B597" s="10" t="inlineStr">
        <is>
          <t>2024-07-29</t>
        </is>
      </c>
      <c r="C597" t="inlineStr">
        <is>
          <t>Customer 165</t>
        </is>
      </c>
      <c r="D597" t="inlineStr">
        <is>
          <t>South</t>
        </is>
      </c>
      <c r="E597" t="inlineStr">
        <is>
          <t>Office Supplies</t>
        </is>
      </c>
      <c r="F597" t="inlineStr">
        <is>
          <t>Pens (Box)</t>
        </is>
      </c>
      <c r="G597" t="inlineStr">
        <is>
          <t>Second Class</t>
        </is>
      </c>
      <c r="H597" t="n">
        <v>1</v>
      </c>
      <c r="I597" s="11" t="n">
        <v>668.16</v>
      </c>
      <c r="J597" s="12" t="n">
        <v>0.3</v>
      </c>
      <c r="K597" s="11" t="n">
        <v>467.71</v>
      </c>
      <c r="L597" s="11" t="n">
        <v>55.85</v>
      </c>
      <c r="M597" s="12" t="n">
        <v>0.1194</v>
      </c>
    </row>
    <row r="598">
      <c r="A598" t="inlineStr">
        <is>
          <t>ORD-10036</t>
        </is>
      </c>
      <c r="B598" s="10" t="inlineStr">
        <is>
          <t>2024-07-29</t>
        </is>
      </c>
      <c r="C598" t="inlineStr">
        <is>
          <t>Customer 31</t>
        </is>
      </c>
      <c r="D598" t="inlineStr">
        <is>
          <t>South</t>
        </is>
      </c>
      <c r="E598" t="inlineStr">
        <is>
          <t>Office Supplies</t>
        </is>
      </c>
      <c r="F598" t="inlineStr">
        <is>
          <t>Stapler</t>
        </is>
      </c>
      <c r="G598" t="inlineStr">
        <is>
          <t>Same Day</t>
        </is>
      </c>
      <c r="H598" t="n">
        <v>1</v>
      </c>
      <c r="I598" s="11" t="n">
        <v>883.2</v>
      </c>
      <c r="J598" s="12" t="n">
        <v>0</v>
      </c>
      <c r="K598" s="11" t="n">
        <v>883.2</v>
      </c>
      <c r="L598" s="11" t="n">
        <v>226.82</v>
      </c>
      <c r="M598" s="12" t="n">
        <v>0.2568</v>
      </c>
    </row>
    <row r="599">
      <c r="A599" t="inlineStr">
        <is>
          <t>ORD-11593</t>
        </is>
      </c>
      <c r="B599" s="10" t="inlineStr">
        <is>
          <t>2024-07-31</t>
        </is>
      </c>
      <c r="C599" t="inlineStr">
        <is>
          <t>Customer 7</t>
        </is>
      </c>
      <c r="D599" t="inlineStr">
        <is>
          <t>North</t>
        </is>
      </c>
      <c r="E599" t="inlineStr">
        <is>
          <t>Furniture</t>
        </is>
      </c>
      <c r="F599" t="inlineStr">
        <is>
          <t>Table Lamp</t>
        </is>
      </c>
      <c r="G599" t="inlineStr">
        <is>
          <t>Standard Class</t>
        </is>
      </c>
      <c r="H599" t="n">
        <v>4</v>
      </c>
      <c r="I599" s="11" t="n">
        <v>573.5700000000001</v>
      </c>
      <c r="J599" s="12" t="n">
        <v>0.15</v>
      </c>
      <c r="K599" s="11" t="n">
        <v>1950.14</v>
      </c>
      <c r="L599" s="11" t="n">
        <v>168.57</v>
      </c>
      <c r="M599" s="12" t="n">
        <v>0.0864</v>
      </c>
    </row>
    <row r="600">
      <c r="A600" t="inlineStr">
        <is>
          <t>ORD-11914</t>
        </is>
      </c>
      <c r="B600" s="10" t="inlineStr">
        <is>
          <t>2024-07-31</t>
        </is>
      </c>
      <c r="C600" t="inlineStr">
        <is>
          <t>Customer 72</t>
        </is>
      </c>
      <c r="D600" t="inlineStr">
        <is>
          <t>North</t>
        </is>
      </c>
      <c r="E600" t="inlineStr">
        <is>
          <t>Technology</t>
        </is>
      </c>
      <c r="F600" t="inlineStr">
        <is>
          <t>Wireless Mouse</t>
        </is>
      </c>
      <c r="G600" t="inlineStr">
        <is>
          <t>Second Class</t>
        </is>
      </c>
      <c r="H600" t="n">
        <v>3</v>
      </c>
      <c r="I600" s="11" t="n">
        <v>652.75</v>
      </c>
      <c r="J600" s="12" t="n">
        <v>0.15</v>
      </c>
      <c r="K600" s="11" t="n">
        <v>1664.51</v>
      </c>
      <c r="L600" s="11" t="n">
        <v>230.16</v>
      </c>
      <c r="M600" s="12" t="n">
        <v>0.1383</v>
      </c>
    </row>
    <row r="601">
      <c r="A601" t="inlineStr">
        <is>
          <t>ORD-11875</t>
        </is>
      </c>
      <c r="B601" s="10" t="inlineStr">
        <is>
          <t>2024-07-31</t>
        </is>
      </c>
      <c r="C601" t="inlineStr">
        <is>
          <t>Customer 146</t>
        </is>
      </c>
      <c r="D601" t="inlineStr">
        <is>
          <t>West</t>
        </is>
      </c>
      <c r="E601" t="inlineStr">
        <is>
          <t>Office Supplies</t>
        </is>
      </c>
      <c r="F601" t="inlineStr">
        <is>
          <t>Stapler</t>
        </is>
      </c>
      <c r="G601" t="inlineStr">
        <is>
          <t>Standard Class</t>
        </is>
      </c>
      <c r="H601" t="n">
        <v>11</v>
      </c>
      <c r="I601" s="11" t="n">
        <v>334.99</v>
      </c>
      <c r="J601" s="12" t="n">
        <v>0</v>
      </c>
      <c r="K601" s="11" t="n">
        <v>3684.89</v>
      </c>
      <c r="L601" s="11" t="n">
        <v>1582.03</v>
      </c>
      <c r="M601" s="12" t="n">
        <v>0.4293</v>
      </c>
    </row>
    <row r="602">
      <c r="A602" t="inlineStr">
        <is>
          <t>ORD-11792</t>
        </is>
      </c>
      <c r="B602" s="10" t="inlineStr">
        <is>
          <t>2024-07-31</t>
        </is>
      </c>
      <c r="C602" t="inlineStr">
        <is>
          <t>Customer 32</t>
        </is>
      </c>
      <c r="D602" t="inlineStr">
        <is>
          <t>North</t>
        </is>
      </c>
      <c r="E602" t="inlineStr">
        <is>
          <t>Office Supplies</t>
        </is>
      </c>
      <c r="F602" t="inlineStr">
        <is>
          <t>Pens (Box)</t>
        </is>
      </c>
      <c r="G602" t="inlineStr">
        <is>
          <t>Standard Class</t>
        </is>
      </c>
      <c r="H602" t="n">
        <v>5</v>
      </c>
      <c r="I602" s="11" t="n">
        <v>498.71</v>
      </c>
      <c r="J602" s="12" t="n">
        <v>0.2</v>
      </c>
      <c r="K602" s="11" t="n">
        <v>1994.84</v>
      </c>
      <c r="L602" s="11" t="n">
        <v>495.84</v>
      </c>
      <c r="M602" s="12" t="n">
        <v>0.2486</v>
      </c>
    </row>
    <row r="603">
      <c r="A603" t="inlineStr">
        <is>
          <t>ORD-11053</t>
        </is>
      </c>
      <c r="B603" s="10" t="inlineStr">
        <is>
          <t>2024-07-31</t>
        </is>
      </c>
      <c r="C603" t="inlineStr">
        <is>
          <t>Customer 90</t>
        </is>
      </c>
      <c r="D603" t="inlineStr">
        <is>
          <t>West</t>
        </is>
      </c>
      <c r="E603" t="inlineStr">
        <is>
          <t>Furniture</t>
        </is>
      </c>
      <c r="F603" t="inlineStr">
        <is>
          <t>Table Lamp</t>
        </is>
      </c>
      <c r="G603" t="inlineStr">
        <is>
          <t>Same Day</t>
        </is>
      </c>
      <c r="H603" t="n">
        <v>3</v>
      </c>
      <c r="I603" s="11" t="n">
        <v>851.3200000000001</v>
      </c>
      <c r="J603" s="12" t="n">
        <v>0</v>
      </c>
      <c r="K603" s="11" t="n">
        <v>2553.96</v>
      </c>
      <c r="L603" s="11" t="n">
        <v>786.64</v>
      </c>
      <c r="M603" s="12" t="n">
        <v>0.308</v>
      </c>
    </row>
    <row r="604">
      <c r="A604" t="inlineStr">
        <is>
          <t>ORD-10896</t>
        </is>
      </c>
      <c r="B604" s="10" t="inlineStr">
        <is>
          <t>2024-08-01</t>
        </is>
      </c>
      <c r="C604" t="inlineStr">
        <is>
          <t>Customer 197</t>
        </is>
      </c>
      <c r="D604" t="inlineStr">
        <is>
          <t>South</t>
        </is>
      </c>
      <c r="E604" t="inlineStr">
        <is>
          <t>Office Supplies</t>
        </is>
      </c>
      <c r="F604" t="inlineStr">
        <is>
          <t>Pens (Box)</t>
        </is>
      </c>
      <c r="G604" t="inlineStr">
        <is>
          <t>Second Class</t>
        </is>
      </c>
      <c r="H604" t="n">
        <v>3</v>
      </c>
      <c r="I604" s="11" t="n">
        <v>561.5700000000001</v>
      </c>
      <c r="J604" s="12" t="n">
        <v>0</v>
      </c>
      <c r="K604" s="11" t="n">
        <v>1684.71</v>
      </c>
      <c r="L604" s="11" t="n">
        <v>401.97</v>
      </c>
      <c r="M604" s="12" t="n">
        <v>0.2386</v>
      </c>
    </row>
    <row r="605">
      <c r="A605" t="inlineStr">
        <is>
          <t>ORD-11956</t>
        </is>
      </c>
      <c r="B605" s="10" t="inlineStr">
        <is>
          <t>2024-08-01</t>
        </is>
      </c>
      <c r="C605" t="inlineStr">
        <is>
          <t>Customer 48</t>
        </is>
      </c>
      <c r="D605" t="inlineStr">
        <is>
          <t>West</t>
        </is>
      </c>
      <c r="E605" t="inlineStr">
        <is>
          <t>Technology</t>
        </is>
      </c>
      <c r="F605" t="inlineStr">
        <is>
          <t>Wireless Mouse</t>
        </is>
      </c>
      <c r="G605" t="inlineStr">
        <is>
          <t>Second Class</t>
        </is>
      </c>
      <c r="H605" t="n">
        <v>10</v>
      </c>
      <c r="I605" s="11" t="n">
        <v>861.76</v>
      </c>
      <c r="J605" s="12" t="n">
        <v>0.1</v>
      </c>
      <c r="K605" s="11" t="n">
        <v>7755.84</v>
      </c>
      <c r="L605" s="11" t="n">
        <v>3339.65</v>
      </c>
      <c r="M605" s="12" t="n">
        <v>0.4306</v>
      </c>
    </row>
    <row r="606">
      <c r="A606" t="inlineStr">
        <is>
          <t>ORD-11648</t>
        </is>
      </c>
      <c r="B606" s="10" t="inlineStr">
        <is>
          <t>2024-08-01</t>
        </is>
      </c>
      <c r="C606" t="inlineStr">
        <is>
          <t>Customer 21</t>
        </is>
      </c>
      <c r="D606" t="inlineStr">
        <is>
          <t>East</t>
        </is>
      </c>
      <c r="E606" t="inlineStr">
        <is>
          <t>Furniture</t>
        </is>
      </c>
      <c r="F606" t="inlineStr">
        <is>
          <t>Desk</t>
        </is>
      </c>
      <c r="G606" t="inlineStr">
        <is>
          <t>First Class</t>
        </is>
      </c>
      <c r="H606" t="n">
        <v>4</v>
      </c>
      <c r="I606" s="11" t="n">
        <v>278.75</v>
      </c>
      <c r="J606" s="12" t="n">
        <v>0.2</v>
      </c>
      <c r="K606" s="11" t="n">
        <v>892</v>
      </c>
      <c r="L606" s="11" t="n">
        <v>182.74</v>
      </c>
      <c r="M606" s="12" t="n">
        <v>0.2049</v>
      </c>
    </row>
    <row r="607">
      <c r="A607" t="inlineStr">
        <is>
          <t>ORD-11893</t>
        </is>
      </c>
      <c r="B607" s="10" t="inlineStr">
        <is>
          <t>2024-08-02</t>
        </is>
      </c>
      <c r="C607" t="inlineStr">
        <is>
          <t>Customer 57</t>
        </is>
      </c>
      <c r="D607" t="inlineStr">
        <is>
          <t>East</t>
        </is>
      </c>
      <c r="E607" t="inlineStr">
        <is>
          <t>Furniture</t>
        </is>
      </c>
      <c r="F607" t="inlineStr">
        <is>
          <t>Bookcase</t>
        </is>
      </c>
      <c r="G607" t="inlineStr">
        <is>
          <t>First Class</t>
        </is>
      </c>
      <c r="H607" t="n">
        <v>7</v>
      </c>
      <c r="I607" s="11" t="n">
        <v>807.73</v>
      </c>
      <c r="J607" s="12" t="n">
        <v>0.1</v>
      </c>
      <c r="K607" s="11" t="n">
        <v>5088.7</v>
      </c>
      <c r="L607" s="11" t="n">
        <v>974.3</v>
      </c>
      <c r="M607" s="12" t="n">
        <v>0.1915</v>
      </c>
    </row>
    <row r="608">
      <c r="A608" t="inlineStr">
        <is>
          <t>ORD-11369</t>
        </is>
      </c>
      <c r="B608" s="10" t="inlineStr">
        <is>
          <t>2024-08-02</t>
        </is>
      </c>
      <c r="C608" t="inlineStr">
        <is>
          <t>Customer 99</t>
        </is>
      </c>
      <c r="D608" t="inlineStr">
        <is>
          <t>East</t>
        </is>
      </c>
      <c r="E608" t="inlineStr">
        <is>
          <t>Furniture</t>
        </is>
      </c>
      <c r="F608" t="inlineStr">
        <is>
          <t>Table Lamp</t>
        </is>
      </c>
      <c r="G608" t="inlineStr">
        <is>
          <t>Standard Class</t>
        </is>
      </c>
      <c r="H608" t="n">
        <v>5</v>
      </c>
      <c r="I608" s="11" t="n">
        <v>516.6900000000001</v>
      </c>
      <c r="J608" s="12" t="n">
        <v>0.2</v>
      </c>
      <c r="K608" s="11" t="n">
        <v>2066.76</v>
      </c>
      <c r="L608" s="11" t="n">
        <v>19.01</v>
      </c>
      <c r="M608" s="12" t="n">
        <v>0.0092</v>
      </c>
    </row>
    <row r="609">
      <c r="A609" t="inlineStr">
        <is>
          <t>ORD-10734</t>
        </is>
      </c>
      <c r="B609" s="10" t="inlineStr">
        <is>
          <t>2024-08-02</t>
        </is>
      </c>
      <c r="C609" t="inlineStr">
        <is>
          <t>Customer 151</t>
        </is>
      </c>
      <c r="D609" t="inlineStr">
        <is>
          <t>West</t>
        </is>
      </c>
      <c r="E609" t="inlineStr">
        <is>
          <t>Office Supplies</t>
        </is>
      </c>
      <c r="F609" t="inlineStr">
        <is>
          <t>Paper</t>
        </is>
      </c>
      <c r="G609" t="inlineStr">
        <is>
          <t>Second Class</t>
        </is>
      </c>
      <c r="H609" t="n">
        <v>7</v>
      </c>
      <c r="I609" s="11" t="n">
        <v>289.25</v>
      </c>
      <c r="J609" s="12" t="n">
        <v>0</v>
      </c>
      <c r="K609" s="11" t="n">
        <v>2024.75</v>
      </c>
      <c r="L609" s="11" t="n">
        <v>562.14</v>
      </c>
      <c r="M609" s="12" t="n">
        <v>0.2776</v>
      </c>
    </row>
    <row r="610">
      <c r="A610" t="inlineStr">
        <is>
          <t>ORD-10323</t>
        </is>
      </c>
      <c r="B610" s="10" t="inlineStr">
        <is>
          <t>2024-08-03</t>
        </is>
      </c>
      <c r="C610" t="inlineStr">
        <is>
          <t>Customer 134</t>
        </is>
      </c>
      <c r="D610" t="inlineStr">
        <is>
          <t>East</t>
        </is>
      </c>
      <c r="E610" t="inlineStr">
        <is>
          <t>Furniture</t>
        </is>
      </c>
      <c r="F610" t="inlineStr">
        <is>
          <t>Desk</t>
        </is>
      </c>
      <c r="G610" t="inlineStr">
        <is>
          <t>Standard Class</t>
        </is>
      </c>
      <c r="H610" t="n">
        <v>7</v>
      </c>
      <c r="I610" s="11" t="n">
        <v>980</v>
      </c>
      <c r="J610" s="12" t="n">
        <v>0</v>
      </c>
      <c r="K610" s="11" t="n">
        <v>6860</v>
      </c>
      <c r="L610" s="11" t="n">
        <v>2200.1</v>
      </c>
      <c r="M610" s="12" t="n">
        <v>0.3207</v>
      </c>
    </row>
    <row r="611">
      <c r="A611" t="inlineStr">
        <is>
          <t>ORD-11125</t>
        </is>
      </c>
      <c r="B611" s="10" t="inlineStr">
        <is>
          <t>2024-08-03</t>
        </is>
      </c>
      <c r="C611" t="inlineStr">
        <is>
          <t>Customer 144</t>
        </is>
      </c>
      <c r="D611" t="inlineStr">
        <is>
          <t>South</t>
        </is>
      </c>
      <c r="E611" t="inlineStr">
        <is>
          <t>Office Supplies</t>
        </is>
      </c>
      <c r="F611" t="inlineStr">
        <is>
          <t>Stapler</t>
        </is>
      </c>
      <c r="G611" t="inlineStr">
        <is>
          <t>First Class</t>
        </is>
      </c>
      <c r="H611" t="n">
        <v>7</v>
      </c>
      <c r="I611" s="11" t="n">
        <v>709.04</v>
      </c>
      <c r="J611" s="12" t="n">
        <v>0</v>
      </c>
      <c r="K611" s="11" t="n">
        <v>4963.28</v>
      </c>
      <c r="L611" s="11" t="n">
        <v>1152.74</v>
      </c>
      <c r="M611" s="12" t="n">
        <v>0.2323</v>
      </c>
    </row>
    <row r="612">
      <c r="A612" t="inlineStr">
        <is>
          <t>ORD-11855</t>
        </is>
      </c>
      <c r="B612" s="10" t="inlineStr">
        <is>
          <t>2024-08-03</t>
        </is>
      </c>
      <c r="C612" t="inlineStr">
        <is>
          <t>Customer 146</t>
        </is>
      </c>
      <c r="D612" t="inlineStr">
        <is>
          <t>West</t>
        </is>
      </c>
      <c r="E612" t="inlineStr">
        <is>
          <t>Office Supplies</t>
        </is>
      </c>
      <c r="F612" t="inlineStr">
        <is>
          <t>Paper</t>
        </is>
      </c>
      <c r="G612" t="inlineStr">
        <is>
          <t>Standard Class</t>
        </is>
      </c>
      <c r="H612" t="n">
        <v>10</v>
      </c>
      <c r="I612" s="11" t="n">
        <v>631.67</v>
      </c>
      <c r="J612" s="12" t="n">
        <v>0.1</v>
      </c>
      <c r="K612" s="11" t="n">
        <v>5685.03</v>
      </c>
      <c r="L612" s="11" t="n">
        <v>2296.94</v>
      </c>
      <c r="M612" s="12" t="n">
        <v>0.404</v>
      </c>
    </row>
    <row r="613">
      <c r="A613" t="inlineStr">
        <is>
          <t>ORD-10947</t>
        </is>
      </c>
      <c r="B613" s="10" t="inlineStr">
        <is>
          <t>2024-08-03</t>
        </is>
      </c>
      <c r="C613" t="inlineStr">
        <is>
          <t>Customer 84</t>
        </is>
      </c>
      <c r="D613" t="inlineStr">
        <is>
          <t>West</t>
        </is>
      </c>
      <c r="E613" t="inlineStr">
        <is>
          <t>Technology</t>
        </is>
      </c>
      <c r="F613" t="inlineStr">
        <is>
          <t>Laptop</t>
        </is>
      </c>
      <c r="G613" t="inlineStr">
        <is>
          <t>First Class</t>
        </is>
      </c>
      <c r="H613" t="n">
        <v>10</v>
      </c>
      <c r="I613" s="11" t="n">
        <v>249.64</v>
      </c>
      <c r="J613" s="12" t="n">
        <v>0</v>
      </c>
      <c r="K613" s="11" t="n">
        <v>2496.4</v>
      </c>
      <c r="L613" s="11" t="n">
        <v>936.26</v>
      </c>
      <c r="M613" s="12" t="n">
        <v>0.375</v>
      </c>
    </row>
    <row r="614">
      <c r="A614" t="inlineStr">
        <is>
          <t>ORD-11955</t>
        </is>
      </c>
      <c r="B614" s="10" t="inlineStr">
        <is>
          <t>2024-08-03</t>
        </is>
      </c>
      <c r="C614" t="inlineStr">
        <is>
          <t>Customer 187</t>
        </is>
      </c>
      <c r="D614" t="inlineStr">
        <is>
          <t>North</t>
        </is>
      </c>
      <c r="E614" t="inlineStr">
        <is>
          <t>Technology</t>
        </is>
      </c>
      <c r="F614" t="inlineStr">
        <is>
          <t>Printer</t>
        </is>
      </c>
      <c r="G614" t="inlineStr">
        <is>
          <t>Standard Class</t>
        </is>
      </c>
      <c r="H614" t="n">
        <v>2</v>
      </c>
      <c r="I614" s="11" t="n">
        <v>180.36</v>
      </c>
      <c r="J614" s="12" t="n">
        <v>0</v>
      </c>
      <c r="K614" s="11" t="n">
        <v>360.72</v>
      </c>
      <c r="L614" s="11" t="n">
        <v>153.14</v>
      </c>
      <c r="M614" s="12" t="n">
        <v>0.4245</v>
      </c>
    </row>
    <row r="615">
      <c r="A615" t="inlineStr">
        <is>
          <t>ORD-11666</t>
        </is>
      </c>
      <c r="B615" s="10" t="inlineStr">
        <is>
          <t>2024-08-03</t>
        </is>
      </c>
      <c r="C615" t="inlineStr">
        <is>
          <t>Customer 92</t>
        </is>
      </c>
      <c r="D615" t="inlineStr">
        <is>
          <t>West</t>
        </is>
      </c>
      <c r="E615" t="inlineStr">
        <is>
          <t>Technology</t>
        </is>
      </c>
      <c r="F615" t="inlineStr">
        <is>
          <t>Monitor</t>
        </is>
      </c>
      <c r="G615" t="inlineStr">
        <is>
          <t>Same Day</t>
        </is>
      </c>
      <c r="H615" t="n">
        <v>9</v>
      </c>
      <c r="I615" s="11" t="n">
        <v>222.66</v>
      </c>
      <c r="J615" s="12" t="n">
        <v>0</v>
      </c>
      <c r="K615" s="11" t="n">
        <v>2003.94</v>
      </c>
      <c r="L615" s="11" t="n">
        <v>357.19</v>
      </c>
      <c r="M615" s="12" t="n">
        <v>0.1782</v>
      </c>
    </row>
    <row r="616">
      <c r="A616" t="inlineStr">
        <is>
          <t>ORD-10330</t>
        </is>
      </c>
      <c r="B616" s="10" t="inlineStr">
        <is>
          <t>2024-08-04</t>
        </is>
      </c>
      <c r="C616" t="inlineStr">
        <is>
          <t>Customer 174</t>
        </is>
      </c>
      <c r="D616" t="inlineStr">
        <is>
          <t>East</t>
        </is>
      </c>
      <c r="E616" t="inlineStr">
        <is>
          <t>Office Supplies</t>
        </is>
      </c>
      <c r="F616" t="inlineStr">
        <is>
          <t>Stapler</t>
        </is>
      </c>
      <c r="G616" t="inlineStr">
        <is>
          <t>Second Class</t>
        </is>
      </c>
      <c r="H616" t="n">
        <v>6</v>
      </c>
      <c r="I616" s="11" t="n">
        <v>77.45</v>
      </c>
      <c r="J616" s="12" t="n">
        <v>0</v>
      </c>
      <c r="K616" s="11" t="n">
        <v>464.7</v>
      </c>
      <c r="L616" s="11" t="n">
        <v>190.95</v>
      </c>
      <c r="M616" s="12" t="n">
        <v>0.4109</v>
      </c>
    </row>
    <row r="617">
      <c r="A617" t="inlineStr">
        <is>
          <t>ORD-10017</t>
        </is>
      </c>
      <c r="B617" s="10" t="inlineStr">
        <is>
          <t>2024-08-04</t>
        </is>
      </c>
      <c r="C617" t="inlineStr">
        <is>
          <t>Customer 50</t>
        </is>
      </c>
      <c r="D617" t="inlineStr">
        <is>
          <t>West</t>
        </is>
      </c>
      <c r="E617" t="inlineStr">
        <is>
          <t>Furniture</t>
        </is>
      </c>
      <c r="F617" t="inlineStr">
        <is>
          <t>Chair</t>
        </is>
      </c>
      <c r="G617" t="inlineStr">
        <is>
          <t>Same Day</t>
        </is>
      </c>
      <c r="H617" t="n">
        <v>3</v>
      </c>
      <c r="I617" s="11" t="n">
        <v>162.53</v>
      </c>
      <c r="J617" s="12" t="n">
        <v>0.1</v>
      </c>
      <c r="K617" s="11" t="n">
        <v>438.83</v>
      </c>
      <c r="L617" s="11" t="n">
        <v>174.24</v>
      </c>
      <c r="M617" s="12" t="n">
        <v>0.3971</v>
      </c>
    </row>
    <row r="618">
      <c r="A618" t="inlineStr">
        <is>
          <t>ORD-11223</t>
        </is>
      </c>
      <c r="B618" s="10" t="inlineStr">
        <is>
          <t>2024-08-04</t>
        </is>
      </c>
      <c r="C618" t="inlineStr">
        <is>
          <t>Customer 81</t>
        </is>
      </c>
      <c r="D618" t="inlineStr">
        <is>
          <t>West</t>
        </is>
      </c>
      <c r="E618" t="inlineStr">
        <is>
          <t>Technology</t>
        </is>
      </c>
      <c r="F618" t="inlineStr">
        <is>
          <t>Monitor</t>
        </is>
      </c>
      <c r="G618" t="inlineStr">
        <is>
          <t>Second Class</t>
        </is>
      </c>
      <c r="H618" t="n">
        <v>11</v>
      </c>
      <c r="I618" s="11" t="n">
        <v>255.13</v>
      </c>
      <c r="J618" s="12" t="n">
        <v>0.1</v>
      </c>
      <c r="K618" s="11" t="n">
        <v>2525.79</v>
      </c>
      <c r="L618" s="11" t="n">
        <v>161.94</v>
      </c>
      <c r="M618" s="12" t="n">
        <v>0.0641</v>
      </c>
    </row>
    <row r="619">
      <c r="A619" t="inlineStr">
        <is>
          <t>ORD-11366</t>
        </is>
      </c>
      <c r="B619" s="10" t="inlineStr">
        <is>
          <t>2024-08-05</t>
        </is>
      </c>
      <c r="C619" t="inlineStr">
        <is>
          <t>Customer 122</t>
        </is>
      </c>
      <c r="D619" t="inlineStr">
        <is>
          <t>East</t>
        </is>
      </c>
      <c r="E619" t="inlineStr">
        <is>
          <t>Office Supplies</t>
        </is>
      </c>
      <c r="F619" t="inlineStr">
        <is>
          <t>Paper</t>
        </is>
      </c>
      <c r="G619" t="inlineStr">
        <is>
          <t>First Class</t>
        </is>
      </c>
      <c r="H619" t="n">
        <v>2</v>
      </c>
      <c r="I619" s="11" t="n">
        <v>98.42</v>
      </c>
      <c r="J619" s="12" t="n">
        <v>0</v>
      </c>
      <c r="K619" s="11" t="n">
        <v>196.84</v>
      </c>
      <c r="L619" s="11" t="n">
        <v>35.12</v>
      </c>
      <c r="M619" s="12" t="n">
        <v>0.1784</v>
      </c>
    </row>
    <row r="620">
      <c r="A620" t="inlineStr">
        <is>
          <t>ORD-11948</t>
        </is>
      </c>
      <c r="B620" s="10" t="inlineStr">
        <is>
          <t>2024-08-05</t>
        </is>
      </c>
      <c r="C620" t="inlineStr">
        <is>
          <t>Customer 164</t>
        </is>
      </c>
      <c r="D620" t="inlineStr">
        <is>
          <t>South</t>
        </is>
      </c>
      <c r="E620" t="inlineStr">
        <is>
          <t>Furniture</t>
        </is>
      </c>
      <c r="F620" t="inlineStr">
        <is>
          <t>Chair</t>
        </is>
      </c>
      <c r="G620" t="inlineStr">
        <is>
          <t>First Class</t>
        </is>
      </c>
      <c r="H620" t="n">
        <v>10</v>
      </c>
      <c r="I620" s="11" t="n">
        <v>460.91</v>
      </c>
      <c r="J620" s="12" t="n">
        <v>0</v>
      </c>
      <c r="K620" s="11" t="n">
        <v>4609.1</v>
      </c>
      <c r="L620" s="11" t="n">
        <v>986.02</v>
      </c>
      <c r="M620" s="12" t="n">
        <v>0.2139</v>
      </c>
    </row>
    <row r="621">
      <c r="A621" t="inlineStr">
        <is>
          <t>ORD-11302</t>
        </is>
      </c>
      <c r="B621" s="10" t="inlineStr">
        <is>
          <t>2024-08-06</t>
        </is>
      </c>
      <c r="C621" t="inlineStr">
        <is>
          <t>Customer 167</t>
        </is>
      </c>
      <c r="D621" t="inlineStr">
        <is>
          <t>South</t>
        </is>
      </c>
      <c r="E621" t="inlineStr">
        <is>
          <t>Office Supplies</t>
        </is>
      </c>
      <c r="F621" t="inlineStr">
        <is>
          <t>Stapler</t>
        </is>
      </c>
      <c r="G621" t="inlineStr">
        <is>
          <t>Same Day</t>
        </is>
      </c>
      <c r="H621" t="n">
        <v>6</v>
      </c>
      <c r="I621" s="11" t="n">
        <v>1050.12</v>
      </c>
      <c r="J621" s="12" t="n">
        <v>0</v>
      </c>
      <c r="K621" s="11" t="n">
        <v>6300.72</v>
      </c>
      <c r="L621" s="11" t="n">
        <v>2612.65</v>
      </c>
      <c r="M621" s="12" t="n">
        <v>0.4147</v>
      </c>
    </row>
    <row r="622">
      <c r="A622" t="inlineStr">
        <is>
          <t>ORD-10501</t>
        </is>
      </c>
      <c r="B622" s="10" t="inlineStr">
        <is>
          <t>2024-08-06</t>
        </is>
      </c>
      <c r="C622" t="inlineStr">
        <is>
          <t>Customer 96</t>
        </is>
      </c>
      <c r="D622" t="inlineStr">
        <is>
          <t>South</t>
        </is>
      </c>
      <c r="E622" t="inlineStr">
        <is>
          <t>Furniture</t>
        </is>
      </c>
      <c r="F622" t="inlineStr">
        <is>
          <t>Bookcase</t>
        </is>
      </c>
      <c r="G622" t="inlineStr">
        <is>
          <t>First Class</t>
        </is>
      </c>
      <c r="H622" t="n">
        <v>2</v>
      </c>
      <c r="I622" s="11" t="n">
        <v>51.27</v>
      </c>
      <c r="J622" s="12" t="n">
        <v>0</v>
      </c>
      <c r="K622" s="11" t="n">
        <v>102.54</v>
      </c>
      <c r="L622" s="11" t="n">
        <v>33.49</v>
      </c>
      <c r="M622" s="12" t="n">
        <v>0.3266</v>
      </c>
    </row>
    <row r="623">
      <c r="A623" t="inlineStr">
        <is>
          <t>ORD-10659</t>
        </is>
      </c>
      <c r="B623" s="10" t="inlineStr">
        <is>
          <t>2024-08-06</t>
        </is>
      </c>
      <c r="C623" t="inlineStr">
        <is>
          <t>Customer 64</t>
        </is>
      </c>
      <c r="D623" t="inlineStr">
        <is>
          <t>West</t>
        </is>
      </c>
      <c r="E623" t="inlineStr">
        <is>
          <t>Furniture</t>
        </is>
      </c>
      <c r="F623" t="inlineStr">
        <is>
          <t>Bookcase</t>
        </is>
      </c>
      <c r="G623" t="inlineStr">
        <is>
          <t>Standard Class</t>
        </is>
      </c>
      <c r="H623" t="n">
        <v>10</v>
      </c>
      <c r="I623" s="11" t="n">
        <v>36.32</v>
      </c>
      <c r="J623" s="12" t="n">
        <v>0</v>
      </c>
      <c r="K623" s="11" t="n">
        <v>363.2</v>
      </c>
      <c r="L623" s="11" t="n">
        <v>140.91</v>
      </c>
      <c r="M623" s="12" t="n">
        <v>0.388</v>
      </c>
    </row>
    <row r="624">
      <c r="A624" t="inlineStr">
        <is>
          <t>ORD-11154</t>
        </is>
      </c>
      <c r="B624" s="10" t="inlineStr">
        <is>
          <t>2024-08-06</t>
        </is>
      </c>
      <c r="C624" t="inlineStr">
        <is>
          <t>Customer 162</t>
        </is>
      </c>
      <c r="D624" t="inlineStr">
        <is>
          <t>East</t>
        </is>
      </c>
      <c r="E624" t="inlineStr">
        <is>
          <t>Office Supplies</t>
        </is>
      </c>
      <c r="F624" t="inlineStr">
        <is>
          <t>Pens (Box)</t>
        </is>
      </c>
      <c r="G624" t="inlineStr">
        <is>
          <t>Same Day</t>
        </is>
      </c>
      <c r="H624" t="n">
        <v>8</v>
      </c>
      <c r="I624" s="11" t="n">
        <v>845.9299999999999</v>
      </c>
      <c r="J624" s="12" t="n">
        <v>0</v>
      </c>
      <c r="K624" s="11" t="n">
        <v>6767.44</v>
      </c>
      <c r="L624" s="11" t="n">
        <v>1962.56</v>
      </c>
      <c r="M624" s="12" t="n">
        <v>0.29</v>
      </c>
    </row>
    <row r="625">
      <c r="A625" t="inlineStr">
        <is>
          <t>ORD-10554</t>
        </is>
      </c>
      <c r="B625" s="10" t="inlineStr">
        <is>
          <t>2024-08-06</t>
        </is>
      </c>
      <c r="C625" t="inlineStr">
        <is>
          <t>Customer 144</t>
        </is>
      </c>
      <c r="D625" t="inlineStr">
        <is>
          <t>South</t>
        </is>
      </c>
      <c r="E625" t="inlineStr">
        <is>
          <t>Office Supplies</t>
        </is>
      </c>
      <c r="F625" t="inlineStr">
        <is>
          <t>Binder</t>
        </is>
      </c>
      <c r="G625" t="inlineStr">
        <is>
          <t>Same Day</t>
        </is>
      </c>
      <c r="H625" t="n">
        <v>4</v>
      </c>
      <c r="I625" s="11" t="n">
        <v>61.62</v>
      </c>
      <c r="J625" s="12" t="n">
        <v>0</v>
      </c>
      <c r="K625" s="11" t="n">
        <v>246.48</v>
      </c>
      <c r="L625" s="11" t="n">
        <v>86.14</v>
      </c>
      <c r="M625" s="12" t="n">
        <v>0.3495</v>
      </c>
    </row>
    <row r="626">
      <c r="A626" t="inlineStr">
        <is>
          <t>ORD-10005</t>
        </is>
      </c>
      <c r="B626" s="10" t="inlineStr">
        <is>
          <t>2024-08-06</t>
        </is>
      </c>
      <c r="C626" t="inlineStr">
        <is>
          <t>Customer 118</t>
        </is>
      </c>
      <c r="D626" t="inlineStr">
        <is>
          <t>North</t>
        </is>
      </c>
      <c r="E626" t="inlineStr">
        <is>
          <t>Furniture</t>
        </is>
      </c>
      <c r="F626" t="inlineStr">
        <is>
          <t>Bookcase</t>
        </is>
      </c>
      <c r="G626" t="inlineStr">
        <is>
          <t>Same Day</t>
        </is>
      </c>
      <c r="H626" t="n">
        <v>2</v>
      </c>
      <c r="I626" s="11" t="n">
        <v>128.57</v>
      </c>
      <c r="J626" s="12" t="n">
        <v>0</v>
      </c>
      <c r="K626" s="11" t="n">
        <v>257.14</v>
      </c>
      <c r="L626" s="11" t="n">
        <v>113.22</v>
      </c>
      <c r="M626" s="12" t="n">
        <v>0.4403</v>
      </c>
    </row>
    <row r="627">
      <c r="A627" t="inlineStr">
        <is>
          <t>ORD-11372</t>
        </is>
      </c>
      <c r="B627" s="10" t="inlineStr">
        <is>
          <t>2024-08-06</t>
        </is>
      </c>
      <c r="C627" t="inlineStr">
        <is>
          <t>Customer 15</t>
        </is>
      </c>
      <c r="D627" t="inlineStr">
        <is>
          <t>East</t>
        </is>
      </c>
      <c r="E627" t="inlineStr">
        <is>
          <t>Furniture</t>
        </is>
      </c>
      <c r="F627" t="inlineStr">
        <is>
          <t>Table Lamp</t>
        </is>
      </c>
      <c r="G627" t="inlineStr">
        <is>
          <t>Second Class</t>
        </is>
      </c>
      <c r="H627" t="n">
        <v>1</v>
      </c>
      <c r="I627" s="11" t="n">
        <v>1169.19</v>
      </c>
      <c r="J627" s="12" t="n">
        <v>0.15</v>
      </c>
      <c r="K627" s="11" t="n">
        <v>993.8099999999999</v>
      </c>
      <c r="L627" s="11" t="n">
        <v>142.96</v>
      </c>
      <c r="M627" s="12" t="n">
        <v>0.1439</v>
      </c>
    </row>
    <row r="628">
      <c r="A628" t="inlineStr">
        <is>
          <t>ORD-10680</t>
        </is>
      </c>
      <c r="B628" s="10" t="inlineStr">
        <is>
          <t>2024-08-07</t>
        </is>
      </c>
      <c r="C628" t="inlineStr">
        <is>
          <t>Customer 21</t>
        </is>
      </c>
      <c r="D628" t="inlineStr">
        <is>
          <t>East</t>
        </is>
      </c>
      <c r="E628" t="inlineStr">
        <is>
          <t>Technology</t>
        </is>
      </c>
      <c r="F628" t="inlineStr">
        <is>
          <t>Laptop</t>
        </is>
      </c>
      <c r="G628" t="inlineStr">
        <is>
          <t>Standard Class</t>
        </is>
      </c>
      <c r="H628" t="n">
        <v>3</v>
      </c>
      <c r="I628" s="11" t="n">
        <v>520.3</v>
      </c>
      <c r="J628" s="12" t="n">
        <v>0</v>
      </c>
      <c r="K628" s="11" t="n">
        <v>1560.9</v>
      </c>
      <c r="L628" s="11" t="n">
        <v>363.51</v>
      </c>
      <c r="M628" s="12" t="n">
        <v>0.2329</v>
      </c>
    </row>
    <row r="629">
      <c r="A629" t="inlineStr">
        <is>
          <t>ORD-11755</t>
        </is>
      </c>
      <c r="B629" s="10" t="inlineStr">
        <is>
          <t>2024-08-08</t>
        </is>
      </c>
      <c r="C629" t="inlineStr">
        <is>
          <t>Customer 87</t>
        </is>
      </c>
      <c r="D629" t="inlineStr">
        <is>
          <t>North</t>
        </is>
      </c>
      <c r="E629" t="inlineStr">
        <is>
          <t>Technology</t>
        </is>
      </c>
      <c r="F629" t="inlineStr">
        <is>
          <t>Wireless Mouse</t>
        </is>
      </c>
      <c r="G629" t="inlineStr">
        <is>
          <t>Second Class</t>
        </is>
      </c>
      <c r="H629" t="n">
        <v>6</v>
      </c>
      <c r="I629" s="11" t="n">
        <v>737.47</v>
      </c>
      <c r="J629" s="12" t="n">
        <v>0.15</v>
      </c>
      <c r="K629" s="11" t="n">
        <v>3761.1</v>
      </c>
      <c r="L629" s="11" t="n">
        <v>1081.43</v>
      </c>
      <c r="M629" s="12" t="n">
        <v>0.2875</v>
      </c>
    </row>
    <row r="630">
      <c r="A630" t="inlineStr">
        <is>
          <t>ORD-11927</t>
        </is>
      </c>
      <c r="B630" s="10" t="inlineStr">
        <is>
          <t>2024-08-08</t>
        </is>
      </c>
      <c r="C630" t="inlineStr">
        <is>
          <t>Customer 92</t>
        </is>
      </c>
      <c r="D630" t="inlineStr">
        <is>
          <t>West</t>
        </is>
      </c>
      <c r="E630" t="inlineStr">
        <is>
          <t>Office Supplies</t>
        </is>
      </c>
      <c r="F630" t="inlineStr">
        <is>
          <t>Stapler</t>
        </is>
      </c>
      <c r="G630" t="inlineStr">
        <is>
          <t>Standard Class</t>
        </is>
      </c>
      <c r="H630" t="n">
        <v>6</v>
      </c>
      <c r="I630" s="11" t="n">
        <v>598.415</v>
      </c>
      <c r="J630" s="12" t="n">
        <v>0</v>
      </c>
      <c r="K630" s="11" t="n">
        <v>6730.49</v>
      </c>
      <c r="L630" s="11" t="n">
        <v>1462.72</v>
      </c>
      <c r="M630" s="12" t="n">
        <v>0.2173</v>
      </c>
    </row>
    <row r="631">
      <c r="A631" t="inlineStr">
        <is>
          <t>ORD-10125</t>
        </is>
      </c>
      <c r="B631" s="10" t="inlineStr">
        <is>
          <t>2024-08-08</t>
        </is>
      </c>
      <c r="C631" t="inlineStr">
        <is>
          <t>Customer 7</t>
        </is>
      </c>
      <c r="D631" t="inlineStr">
        <is>
          <t>North</t>
        </is>
      </c>
      <c r="E631" t="inlineStr">
        <is>
          <t>Technology</t>
        </is>
      </c>
      <c r="F631" t="inlineStr">
        <is>
          <t>Wireless Mouse</t>
        </is>
      </c>
      <c r="G631" t="inlineStr">
        <is>
          <t>Same Day</t>
        </is>
      </c>
      <c r="H631" t="n">
        <v>2</v>
      </c>
      <c r="I631" s="11" t="n">
        <v>306.66</v>
      </c>
      <c r="J631" s="12" t="n">
        <v>0</v>
      </c>
      <c r="K631" s="11" t="n">
        <v>613.3200000000001</v>
      </c>
      <c r="L631" s="11" t="n">
        <v>142.49</v>
      </c>
      <c r="M631" s="12" t="n">
        <v>0.2323</v>
      </c>
    </row>
    <row r="632">
      <c r="A632" t="inlineStr">
        <is>
          <t>ORD-11707</t>
        </is>
      </c>
      <c r="B632" s="10" t="inlineStr">
        <is>
          <t>2024-08-09</t>
        </is>
      </c>
      <c r="C632" t="inlineStr">
        <is>
          <t>Customer 30</t>
        </is>
      </c>
      <c r="D632" t="inlineStr">
        <is>
          <t>South</t>
        </is>
      </c>
      <c r="E632" t="inlineStr">
        <is>
          <t>Technology</t>
        </is>
      </c>
      <c r="F632" t="inlineStr">
        <is>
          <t>Laptop</t>
        </is>
      </c>
      <c r="G632" t="inlineStr">
        <is>
          <t>Standard Class</t>
        </is>
      </c>
      <c r="H632" t="n">
        <v>5</v>
      </c>
      <c r="I632" s="11" t="n">
        <v>145.16</v>
      </c>
      <c r="J632" s="12" t="n">
        <v>0.1</v>
      </c>
      <c r="K632" s="11" t="n">
        <v>653.22</v>
      </c>
      <c r="L632" s="11" t="n">
        <v>139.89</v>
      </c>
      <c r="M632" s="12" t="n">
        <v>0.2142</v>
      </c>
    </row>
    <row r="633">
      <c r="A633" t="inlineStr">
        <is>
          <t>ORD-11396</t>
        </is>
      </c>
      <c r="B633" s="10" t="inlineStr">
        <is>
          <t>2024-08-09</t>
        </is>
      </c>
      <c r="C633" t="inlineStr">
        <is>
          <t>Customer 143</t>
        </is>
      </c>
      <c r="D633" t="inlineStr">
        <is>
          <t>South</t>
        </is>
      </c>
      <c r="E633" t="inlineStr">
        <is>
          <t>Office Supplies</t>
        </is>
      </c>
      <c r="F633" t="inlineStr">
        <is>
          <t>Paper</t>
        </is>
      </c>
      <c r="G633" t="inlineStr">
        <is>
          <t>Standard Class</t>
        </is>
      </c>
      <c r="H633" t="n">
        <v>8</v>
      </c>
      <c r="I633" s="11" t="n">
        <v>209.57</v>
      </c>
      <c r="J633" s="12" t="n">
        <v>0.1</v>
      </c>
      <c r="K633" s="11" t="n">
        <v>1508.9</v>
      </c>
      <c r="L633" s="11" t="n">
        <v>656.09</v>
      </c>
      <c r="M633" s="12" t="n">
        <v>0.4348</v>
      </c>
    </row>
    <row r="634">
      <c r="A634" t="inlineStr">
        <is>
          <t>ORD-10153</t>
        </is>
      </c>
      <c r="B634" s="10" t="inlineStr">
        <is>
          <t>2024-08-10</t>
        </is>
      </c>
      <c r="C634" t="inlineStr">
        <is>
          <t>Customer 95</t>
        </is>
      </c>
      <c r="D634" t="inlineStr">
        <is>
          <t>West</t>
        </is>
      </c>
      <c r="E634" t="inlineStr">
        <is>
          <t>Technology</t>
        </is>
      </c>
      <c r="F634" t="inlineStr">
        <is>
          <t>Printer</t>
        </is>
      </c>
      <c r="G634" t="inlineStr">
        <is>
          <t>Second Class</t>
        </is>
      </c>
      <c r="H634" t="n">
        <v>6</v>
      </c>
      <c r="I634" s="11" t="n">
        <v>292.07</v>
      </c>
      <c r="J634" s="12" t="n">
        <v>0</v>
      </c>
      <c r="K634" s="11" t="n">
        <v>1752.42</v>
      </c>
      <c r="L634" s="11" t="n">
        <v>698.76</v>
      </c>
      <c r="M634" s="12" t="n">
        <v>0.3987</v>
      </c>
    </row>
    <row r="635">
      <c r="A635" t="inlineStr">
        <is>
          <t>ORD-11041</t>
        </is>
      </c>
      <c r="B635" s="10" t="inlineStr">
        <is>
          <t>2024-08-10</t>
        </is>
      </c>
      <c r="C635" t="inlineStr">
        <is>
          <t>Customer 73</t>
        </is>
      </c>
      <c r="D635" t="inlineStr">
        <is>
          <t>South</t>
        </is>
      </c>
      <c r="E635" t="inlineStr">
        <is>
          <t>Furniture</t>
        </is>
      </c>
      <c r="F635" t="inlineStr">
        <is>
          <t>Table Lamp</t>
        </is>
      </c>
      <c r="G635" t="inlineStr">
        <is>
          <t>Second Class</t>
        </is>
      </c>
      <c r="H635" t="n">
        <v>10</v>
      </c>
      <c r="I635" s="11" t="n">
        <v>106.84</v>
      </c>
      <c r="J635" s="12" t="n">
        <v>0</v>
      </c>
      <c r="K635" s="11" t="n">
        <v>1068.4</v>
      </c>
      <c r="L635" s="11" t="n">
        <v>336.59</v>
      </c>
      <c r="M635" s="12" t="n">
        <v>0.315</v>
      </c>
    </row>
    <row r="636">
      <c r="A636" t="inlineStr">
        <is>
          <t>ORD-11783</t>
        </is>
      </c>
      <c r="B636" s="10" t="inlineStr">
        <is>
          <t>2024-08-10</t>
        </is>
      </c>
      <c r="C636" t="inlineStr">
        <is>
          <t>Customer 105</t>
        </is>
      </c>
      <c r="D636" t="inlineStr">
        <is>
          <t>West</t>
        </is>
      </c>
      <c r="E636" t="inlineStr">
        <is>
          <t>Office Supplies</t>
        </is>
      </c>
      <c r="F636" t="inlineStr">
        <is>
          <t>Paper</t>
        </is>
      </c>
      <c r="G636" t="inlineStr">
        <is>
          <t>Second Class</t>
        </is>
      </c>
      <c r="H636" t="n">
        <v>10</v>
      </c>
      <c r="I636" s="11" t="n">
        <v>1010.78</v>
      </c>
      <c r="J636" s="12" t="n">
        <v>0</v>
      </c>
      <c r="K636" s="11" t="n">
        <v>10107.8</v>
      </c>
      <c r="L636" s="11" t="n">
        <v>4103.39</v>
      </c>
      <c r="M636" s="12" t="n">
        <v>0.406</v>
      </c>
    </row>
    <row r="637">
      <c r="A637" t="inlineStr">
        <is>
          <t>ORD-11577</t>
        </is>
      </c>
      <c r="B637" s="10" t="inlineStr">
        <is>
          <t>2024-08-11</t>
        </is>
      </c>
      <c r="C637" t="inlineStr">
        <is>
          <t>Customer 38</t>
        </is>
      </c>
      <c r="D637" t="inlineStr">
        <is>
          <t>West</t>
        </is>
      </c>
      <c r="E637" t="inlineStr">
        <is>
          <t>Technology</t>
        </is>
      </c>
      <c r="F637" t="inlineStr">
        <is>
          <t>Wireless Mouse</t>
        </is>
      </c>
      <c r="G637" t="inlineStr">
        <is>
          <t>Second Class</t>
        </is>
      </c>
      <c r="H637" t="n">
        <v>10</v>
      </c>
      <c r="I637" s="11" t="n">
        <v>655.9299999999999</v>
      </c>
      <c r="J637" s="12" t="n">
        <v>0</v>
      </c>
      <c r="K637" s="11" t="n">
        <v>6559.3</v>
      </c>
      <c r="L637" s="11" t="n">
        <v>2454.61</v>
      </c>
      <c r="M637" s="12" t="n">
        <v>0.3742</v>
      </c>
    </row>
    <row r="638">
      <c r="A638" t="inlineStr">
        <is>
          <t>ORD-11756</t>
        </is>
      </c>
      <c r="B638" s="10" t="inlineStr">
        <is>
          <t>2024-08-11</t>
        </is>
      </c>
      <c r="C638" t="inlineStr">
        <is>
          <t>Customer 190</t>
        </is>
      </c>
      <c r="D638" t="inlineStr">
        <is>
          <t>South</t>
        </is>
      </c>
      <c r="E638" t="inlineStr">
        <is>
          <t>Office Supplies</t>
        </is>
      </c>
      <c r="F638" t="inlineStr">
        <is>
          <t>Pens (Box)</t>
        </is>
      </c>
      <c r="G638" t="inlineStr">
        <is>
          <t>Standard Class</t>
        </is>
      </c>
      <c r="H638" t="n">
        <v>7</v>
      </c>
      <c r="I638" s="11" t="n">
        <v>329.2</v>
      </c>
      <c r="J638" s="12" t="n">
        <v>0.3</v>
      </c>
      <c r="K638" s="11" t="n">
        <v>1613.08</v>
      </c>
      <c r="L638" s="11" t="n">
        <v>-10.46</v>
      </c>
      <c r="M638" s="12" t="n">
        <v>-0.0065</v>
      </c>
    </row>
    <row r="639">
      <c r="A639" t="inlineStr">
        <is>
          <t>ORD-10704</t>
        </is>
      </c>
      <c r="B639" s="10" t="inlineStr">
        <is>
          <t>2024-08-11</t>
        </is>
      </c>
      <c r="C639" t="inlineStr">
        <is>
          <t>Customer 74</t>
        </is>
      </c>
      <c r="D639" t="inlineStr">
        <is>
          <t>North</t>
        </is>
      </c>
      <c r="E639" t="inlineStr">
        <is>
          <t>Office Supplies</t>
        </is>
      </c>
      <c r="F639" t="inlineStr">
        <is>
          <t>Paper</t>
        </is>
      </c>
      <c r="G639" t="inlineStr">
        <is>
          <t>Standard Class</t>
        </is>
      </c>
      <c r="H639" t="n">
        <v>284</v>
      </c>
      <c r="I639" s="11" t="n">
        <v>46.72</v>
      </c>
      <c r="J639" s="12" t="n">
        <v>0</v>
      </c>
      <c r="K639" s="11" t="n">
        <v>233.6</v>
      </c>
      <c r="L639" s="11" t="n">
        <v>62.83</v>
      </c>
      <c r="M639" s="12" t="n">
        <v>0.269</v>
      </c>
    </row>
    <row r="640">
      <c r="A640" t="inlineStr">
        <is>
          <t>ORD-11284</t>
        </is>
      </c>
      <c r="B640" s="10" t="inlineStr">
        <is>
          <t>2024-08-12</t>
        </is>
      </c>
      <c r="C640" t="inlineStr">
        <is>
          <t>Customer 140</t>
        </is>
      </c>
      <c r="D640" t="inlineStr">
        <is>
          <t>South</t>
        </is>
      </c>
      <c r="E640" t="inlineStr">
        <is>
          <t>Office Supplies</t>
        </is>
      </c>
      <c r="F640" t="inlineStr">
        <is>
          <t>Pens (Box)</t>
        </is>
      </c>
      <c r="G640" t="inlineStr">
        <is>
          <t>Standard Class</t>
        </is>
      </c>
      <c r="H640" t="n">
        <v>8</v>
      </c>
      <c r="I640" s="11" t="n">
        <v>389.18</v>
      </c>
      <c r="J640" s="12" t="n">
        <v>0</v>
      </c>
      <c r="K640" s="11" t="n">
        <v>3113.44</v>
      </c>
      <c r="L640" s="11" t="n">
        <v>615.52</v>
      </c>
      <c r="M640" s="12" t="n">
        <v>0.1977</v>
      </c>
    </row>
    <row r="641">
      <c r="A641" t="inlineStr">
        <is>
          <t>ORD-10898</t>
        </is>
      </c>
      <c r="B641" s="10" t="inlineStr">
        <is>
          <t>2024-08-13</t>
        </is>
      </c>
      <c r="C641" t="inlineStr">
        <is>
          <t>Customer 171</t>
        </is>
      </c>
      <c r="D641" t="inlineStr">
        <is>
          <t>North</t>
        </is>
      </c>
      <c r="E641" t="inlineStr">
        <is>
          <t>Technology</t>
        </is>
      </c>
      <c r="F641" t="inlineStr">
        <is>
          <t>Laptop</t>
        </is>
      </c>
      <c r="G641" t="inlineStr">
        <is>
          <t>Standard Class</t>
        </is>
      </c>
      <c r="H641" t="n">
        <v>10</v>
      </c>
      <c r="I641" s="11" t="n">
        <v>302.96</v>
      </c>
      <c r="J641" s="12" t="n">
        <v>0</v>
      </c>
      <c r="K641" s="11" t="n">
        <v>3029.6</v>
      </c>
      <c r="L641" s="11" t="n">
        <v>928.78</v>
      </c>
      <c r="M641" s="12" t="n">
        <v>0.3066</v>
      </c>
    </row>
    <row r="642">
      <c r="A642" t="inlineStr">
        <is>
          <t>ORD-11281</t>
        </is>
      </c>
      <c r="B642" s="10" t="inlineStr">
        <is>
          <t>2024-08-13</t>
        </is>
      </c>
      <c r="C642" t="inlineStr">
        <is>
          <t>Customer 97</t>
        </is>
      </c>
      <c r="D642" t="inlineStr">
        <is>
          <t>North</t>
        </is>
      </c>
      <c r="E642" t="inlineStr">
        <is>
          <t>Furniture</t>
        </is>
      </c>
      <c r="F642" t="inlineStr">
        <is>
          <t>Chair</t>
        </is>
      </c>
      <c r="G642" t="inlineStr">
        <is>
          <t>First Class</t>
        </is>
      </c>
      <c r="H642" t="n">
        <v>10</v>
      </c>
      <c r="I642" s="11" t="n">
        <v>788.7</v>
      </c>
      <c r="J642" s="12" t="n">
        <v>0.3</v>
      </c>
      <c r="K642" s="11" t="n">
        <v>5520.9</v>
      </c>
      <c r="L642" s="11" t="n">
        <v>631.45</v>
      </c>
      <c r="M642" s="12" t="n">
        <v>0.1144</v>
      </c>
    </row>
    <row r="643">
      <c r="A643" t="inlineStr">
        <is>
          <t>ORD-10815</t>
        </is>
      </c>
      <c r="B643" s="10" t="inlineStr">
        <is>
          <t>2024-08-13</t>
        </is>
      </c>
      <c r="C643" t="inlineStr">
        <is>
          <t>Customer 17</t>
        </is>
      </c>
      <c r="D643" t="inlineStr">
        <is>
          <t>East</t>
        </is>
      </c>
      <c r="E643" t="inlineStr">
        <is>
          <t>Technology</t>
        </is>
      </c>
      <c r="F643" t="inlineStr">
        <is>
          <t>Wireless Mouse</t>
        </is>
      </c>
      <c r="G643" t="inlineStr">
        <is>
          <t>Second Class</t>
        </is>
      </c>
      <c r="H643" t="n">
        <v>11</v>
      </c>
      <c r="I643" s="11" t="n">
        <v>559.14</v>
      </c>
      <c r="J643" s="12" t="n">
        <v>0</v>
      </c>
      <c r="K643" s="11" t="n">
        <v>6150.54</v>
      </c>
      <c r="L643" s="11" t="n">
        <v>2189.13</v>
      </c>
      <c r="M643" s="12" t="n">
        <v>0.3559</v>
      </c>
    </row>
    <row r="644">
      <c r="A644" t="inlineStr">
        <is>
          <t>ORD-10562</t>
        </is>
      </c>
      <c r="B644" s="10" t="inlineStr">
        <is>
          <t>2024-08-13</t>
        </is>
      </c>
      <c r="C644" t="inlineStr">
        <is>
          <t>Customer 178</t>
        </is>
      </c>
      <c r="D644" t="inlineStr">
        <is>
          <t>North</t>
        </is>
      </c>
      <c r="E644" t="inlineStr">
        <is>
          <t>Office Supplies</t>
        </is>
      </c>
      <c r="F644" t="inlineStr">
        <is>
          <t>Pens (Box)</t>
        </is>
      </c>
      <c r="G644" t="inlineStr">
        <is>
          <t>Second Class</t>
        </is>
      </c>
      <c r="H644" t="n">
        <v>9</v>
      </c>
      <c r="I644" s="11" t="n">
        <v>244.32</v>
      </c>
      <c r="J644" s="12" t="n">
        <v>0</v>
      </c>
      <c r="K644" s="11" t="n">
        <v>2198.88</v>
      </c>
      <c r="L644" s="11" t="n">
        <v>705.76</v>
      </c>
      <c r="M644" s="12" t="n">
        <v>0.321</v>
      </c>
    </row>
    <row r="645">
      <c r="A645" t="inlineStr">
        <is>
          <t>ORD-11250</t>
        </is>
      </c>
      <c r="B645" s="10" t="inlineStr">
        <is>
          <t>2024-08-14</t>
        </is>
      </c>
      <c r="C645" t="inlineStr">
        <is>
          <t>Customer 192</t>
        </is>
      </c>
      <c r="D645" t="inlineStr">
        <is>
          <t>East</t>
        </is>
      </c>
      <c r="E645" t="inlineStr">
        <is>
          <t>Office Supplies</t>
        </is>
      </c>
      <c r="F645" t="inlineStr">
        <is>
          <t>Pens (Box)</t>
        </is>
      </c>
      <c r="G645" t="inlineStr">
        <is>
          <t>Second Class</t>
        </is>
      </c>
      <c r="H645" t="n">
        <v>11</v>
      </c>
      <c r="I645" s="11" t="n">
        <v>941.42</v>
      </c>
      <c r="J645" s="12" t="n">
        <v>0</v>
      </c>
      <c r="K645" s="11" t="n">
        <v>10355.62</v>
      </c>
      <c r="L645" s="11" t="n">
        <v>1840.11</v>
      </c>
      <c r="M645" s="12" t="n">
        <v>0.1777</v>
      </c>
    </row>
    <row r="646">
      <c r="A646" t="inlineStr">
        <is>
          <t>ORD-10939</t>
        </is>
      </c>
      <c r="B646" s="10" t="inlineStr">
        <is>
          <t>2024-08-14</t>
        </is>
      </c>
      <c r="C646" t="inlineStr">
        <is>
          <t>Customer 114</t>
        </is>
      </c>
      <c r="D646" t="inlineStr">
        <is>
          <t>South</t>
        </is>
      </c>
      <c r="E646" t="inlineStr">
        <is>
          <t>Furniture</t>
        </is>
      </c>
      <c r="F646" t="inlineStr">
        <is>
          <t>Table Lamp</t>
        </is>
      </c>
      <c r="G646" t="inlineStr">
        <is>
          <t>Second Class</t>
        </is>
      </c>
      <c r="H646" t="n">
        <v>6</v>
      </c>
      <c r="I646" s="11" t="n">
        <v>1187.77</v>
      </c>
      <c r="J646" s="12" t="n">
        <v>0</v>
      </c>
      <c r="K646" s="11" t="n">
        <v>7126.62</v>
      </c>
      <c r="L646" s="11" t="n">
        <v>2320.33</v>
      </c>
      <c r="M646" s="12" t="n">
        <v>0.3256</v>
      </c>
    </row>
    <row r="647">
      <c r="A647" t="inlineStr">
        <is>
          <t>ORD-10016</t>
        </is>
      </c>
      <c r="B647" s="10" t="inlineStr">
        <is>
          <t>2024-08-14</t>
        </is>
      </c>
      <c r="C647" t="inlineStr">
        <is>
          <t>Customer 157</t>
        </is>
      </c>
      <c r="D647" t="inlineStr">
        <is>
          <t>North</t>
        </is>
      </c>
      <c r="E647" t="inlineStr">
        <is>
          <t>Furniture</t>
        </is>
      </c>
      <c r="F647" t="inlineStr">
        <is>
          <t>Chair</t>
        </is>
      </c>
      <c r="G647" t="inlineStr">
        <is>
          <t>Standard Class</t>
        </is>
      </c>
      <c r="H647" t="n">
        <v>4</v>
      </c>
      <c r="I647" s="11" t="n">
        <v>934</v>
      </c>
      <c r="J647" s="12" t="n">
        <v>0.3</v>
      </c>
      <c r="K647" s="11" t="n">
        <v>2615.2</v>
      </c>
      <c r="L647" s="11" t="n">
        <v>92.43000000000001</v>
      </c>
      <c r="M647" s="12" t="n">
        <v>0.0353</v>
      </c>
    </row>
    <row r="648">
      <c r="A648" t="inlineStr">
        <is>
          <t>ORD-10609</t>
        </is>
      </c>
      <c r="B648" s="10" t="inlineStr">
        <is>
          <t>2024-08-14</t>
        </is>
      </c>
      <c r="C648" t="inlineStr">
        <is>
          <t>Customer 40</t>
        </is>
      </c>
      <c r="D648" t="inlineStr">
        <is>
          <t>East</t>
        </is>
      </c>
      <c r="E648" t="inlineStr">
        <is>
          <t>Technology</t>
        </is>
      </c>
      <c r="F648" t="inlineStr">
        <is>
          <t>Monitor</t>
        </is>
      </c>
      <c r="G648" t="inlineStr">
        <is>
          <t>Standard Class</t>
        </is>
      </c>
      <c r="H648" t="n">
        <v>5</v>
      </c>
      <c r="I648" s="11" t="n">
        <v>994.6900000000001</v>
      </c>
      <c r="J648" s="12" t="n">
        <v>0.15</v>
      </c>
      <c r="K648" s="11" t="n">
        <v>4227.43</v>
      </c>
      <c r="L648" s="11" t="n">
        <v>1230.61</v>
      </c>
      <c r="M648" s="12" t="n">
        <v>0.2911</v>
      </c>
    </row>
    <row r="649">
      <c r="A649" t="inlineStr">
        <is>
          <t>ORD-11195</t>
        </is>
      </c>
      <c r="B649" s="10" t="inlineStr">
        <is>
          <t>2024-08-14</t>
        </is>
      </c>
      <c r="C649" t="inlineStr">
        <is>
          <t>Customer 136</t>
        </is>
      </c>
      <c r="D649" t="inlineStr">
        <is>
          <t>South</t>
        </is>
      </c>
      <c r="E649" t="inlineStr">
        <is>
          <t>Furniture</t>
        </is>
      </c>
      <c r="F649" t="inlineStr">
        <is>
          <t>Bookcase</t>
        </is>
      </c>
      <c r="G649" t="inlineStr">
        <is>
          <t>Same Day</t>
        </is>
      </c>
      <c r="H649" t="n">
        <v>2</v>
      </c>
      <c r="I649" s="11" t="n">
        <v>602.45</v>
      </c>
      <c r="J649" s="12" t="n">
        <v>0.1</v>
      </c>
      <c r="K649" s="11" t="n">
        <v>1084.41</v>
      </c>
      <c r="L649" s="11" t="n">
        <v>286.24</v>
      </c>
      <c r="M649" s="12" t="n">
        <v>0.264</v>
      </c>
    </row>
    <row r="650">
      <c r="A650" t="inlineStr">
        <is>
          <t>ORD-11018</t>
        </is>
      </c>
      <c r="B650" s="10" t="inlineStr">
        <is>
          <t>2024-08-15</t>
        </is>
      </c>
      <c r="C650" t="inlineStr">
        <is>
          <t>Customer 14</t>
        </is>
      </c>
      <c r="D650" t="inlineStr">
        <is>
          <t>West</t>
        </is>
      </c>
      <c r="E650" t="inlineStr">
        <is>
          <t>Technology</t>
        </is>
      </c>
      <c r="F650" t="inlineStr">
        <is>
          <t>Wireless Mouse</t>
        </is>
      </c>
      <c r="G650" t="inlineStr">
        <is>
          <t>First Class</t>
        </is>
      </c>
      <c r="H650" t="n">
        <v>10</v>
      </c>
      <c r="I650" s="11" t="n">
        <v>758.25</v>
      </c>
      <c r="J650" s="12" t="n">
        <v>0</v>
      </c>
      <c r="K650" s="11" t="n">
        <v>7582.5</v>
      </c>
      <c r="L650" s="11" t="n">
        <v>1564.2</v>
      </c>
      <c r="M650" s="12" t="n">
        <v>0.2063</v>
      </c>
    </row>
    <row r="651">
      <c r="A651" t="inlineStr">
        <is>
          <t>ORD-11971</t>
        </is>
      </c>
      <c r="B651" s="10" t="inlineStr">
        <is>
          <t>2024-08-15</t>
        </is>
      </c>
      <c r="C651" t="inlineStr">
        <is>
          <t>Customer 171</t>
        </is>
      </c>
      <c r="D651" t="inlineStr">
        <is>
          <t>North</t>
        </is>
      </c>
      <c r="E651" t="inlineStr">
        <is>
          <t>Office Supplies</t>
        </is>
      </c>
      <c r="F651" t="inlineStr">
        <is>
          <t>Binder</t>
        </is>
      </c>
      <c r="G651" t="inlineStr">
        <is>
          <t>Standard Class</t>
        </is>
      </c>
      <c r="H651" t="n">
        <v>9</v>
      </c>
      <c r="I651" s="11" t="n">
        <v>843.77</v>
      </c>
      <c r="J651" s="12" t="n">
        <v>0</v>
      </c>
      <c r="K651" s="11" t="n">
        <v>7593.93</v>
      </c>
      <c r="L651" s="11" t="n">
        <v>3737.98</v>
      </c>
      <c r="M651" s="12" t="n">
        <v>0.4922</v>
      </c>
    </row>
    <row r="652">
      <c r="A652" t="inlineStr">
        <is>
          <t>ORD-10890</t>
        </is>
      </c>
      <c r="B652" s="10" t="inlineStr">
        <is>
          <t>2024-08-15</t>
        </is>
      </c>
      <c r="C652" t="inlineStr">
        <is>
          <t>Customer 178</t>
        </is>
      </c>
      <c r="D652" t="inlineStr">
        <is>
          <t>North</t>
        </is>
      </c>
      <c r="E652" t="inlineStr">
        <is>
          <t>Office Supplies</t>
        </is>
      </c>
      <c r="F652" t="inlineStr">
        <is>
          <t>Binder</t>
        </is>
      </c>
      <c r="G652" t="inlineStr">
        <is>
          <t>Second Class</t>
        </is>
      </c>
      <c r="H652" t="n">
        <v>3</v>
      </c>
      <c r="I652" s="11" t="n">
        <v>272.08</v>
      </c>
      <c r="J652" s="12" t="n">
        <v>0.1</v>
      </c>
      <c r="K652" s="11" t="n">
        <v>734.62</v>
      </c>
      <c r="L652" s="11" t="n">
        <v>52.3</v>
      </c>
      <c r="M652" s="12" t="n">
        <v>0.0712</v>
      </c>
    </row>
    <row r="653">
      <c r="A653" t="inlineStr">
        <is>
          <t>ORD-10496</t>
        </is>
      </c>
      <c r="B653" s="10" t="inlineStr">
        <is>
          <t>2024-08-15</t>
        </is>
      </c>
      <c r="C653" t="inlineStr">
        <is>
          <t>Customer 63</t>
        </is>
      </c>
      <c r="D653" t="inlineStr">
        <is>
          <t>South</t>
        </is>
      </c>
      <c r="E653" t="inlineStr">
        <is>
          <t>Furniture</t>
        </is>
      </c>
      <c r="F653" t="inlineStr">
        <is>
          <t>Chair</t>
        </is>
      </c>
      <c r="G653" t="inlineStr">
        <is>
          <t>Same Day</t>
        </is>
      </c>
      <c r="H653" t="n">
        <v>9</v>
      </c>
      <c r="I653" s="11" t="n">
        <v>19.9</v>
      </c>
      <c r="J653" s="12" t="n">
        <v>0</v>
      </c>
      <c r="K653" s="11" t="n">
        <v>179.1</v>
      </c>
      <c r="L653" s="11" t="n">
        <v>45.19</v>
      </c>
      <c r="M653" s="12" t="n">
        <v>0.2523</v>
      </c>
    </row>
    <row r="654">
      <c r="A654" t="inlineStr">
        <is>
          <t>ORD-10830</t>
        </is>
      </c>
      <c r="B654" s="10" t="inlineStr">
        <is>
          <t>2024-08-16</t>
        </is>
      </c>
      <c r="C654" t="inlineStr">
        <is>
          <t>Customer 30</t>
        </is>
      </c>
      <c r="D654" t="inlineStr">
        <is>
          <t>South</t>
        </is>
      </c>
      <c r="E654" t="inlineStr">
        <is>
          <t>Technology</t>
        </is>
      </c>
      <c r="F654" t="inlineStr">
        <is>
          <t>Printer</t>
        </is>
      </c>
      <c r="G654" t="inlineStr">
        <is>
          <t>Same Day</t>
        </is>
      </c>
      <c r="H654" t="n">
        <v>6</v>
      </c>
      <c r="I654" s="11" t="n">
        <v>797.5700000000001</v>
      </c>
      <c r="J654" s="12" t="n">
        <v>0</v>
      </c>
      <c r="K654" s="11" t="n">
        <v>4785.42</v>
      </c>
      <c r="L654" s="11" t="n">
        <v>1851.02</v>
      </c>
      <c r="M654" s="12" t="n">
        <v>0.3868</v>
      </c>
    </row>
    <row r="655">
      <c r="A655" t="inlineStr">
        <is>
          <t>ORD-11879</t>
        </is>
      </c>
      <c r="B655" s="10" t="inlineStr">
        <is>
          <t>2024-08-16</t>
        </is>
      </c>
      <c r="C655" t="inlineStr">
        <is>
          <t>Customer 76</t>
        </is>
      </c>
      <c r="D655" t="inlineStr">
        <is>
          <t>South</t>
        </is>
      </c>
      <c r="E655" t="inlineStr">
        <is>
          <t>Office Supplies</t>
        </is>
      </c>
      <c r="F655" t="inlineStr">
        <is>
          <t>Pens (Box)</t>
        </is>
      </c>
      <c r="G655" t="inlineStr">
        <is>
          <t>Standard Class</t>
        </is>
      </c>
      <c r="H655" t="n">
        <v>8</v>
      </c>
      <c r="I655" s="11" t="n">
        <v>424.32</v>
      </c>
      <c r="J655" s="12" t="n">
        <v>0.2</v>
      </c>
      <c r="K655" s="11" t="n">
        <v>2715.65</v>
      </c>
      <c r="L655" s="11" t="n">
        <v>426.09</v>
      </c>
      <c r="M655" s="12" t="n">
        <v>0.1569</v>
      </c>
    </row>
    <row r="656">
      <c r="A656" t="inlineStr">
        <is>
          <t>ORD-11867</t>
        </is>
      </c>
      <c r="B656" s="10" t="inlineStr">
        <is>
          <t>2024-08-16</t>
        </is>
      </c>
      <c r="C656" t="inlineStr">
        <is>
          <t>Customer 85</t>
        </is>
      </c>
      <c r="D656" t="inlineStr">
        <is>
          <t>East</t>
        </is>
      </c>
      <c r="E656" t="inlineStr">
        <is>
          <t>Technology</t>
        </is>
      </c>
      <c r="F656" t="inlineStr">
        <is>
          <t>Laptop</t>
        </is>
      </c>
      <c r="G656" t="inlineStr">
        <is>
          <t>Same Day</t>
        </is>
      </c>
      <c r="H656" t="n">
        <v>6</v>
      </c>
      <c r="I656" s="11" t="n">
        <v>1111.53</v>
      </c>
      <c r="J656" s="12" t="n">
        <v>0</v>
      </c>
      <c r="K656" s="11" t="n">
        <v>6669.18</v>
      </c>
      <c r="L656" s="11" t="n">
        <v>3160.45</v>
      </c>
      <c r="M656" s="12" t="n">
        <v>0.4739</v>
      </c>
    </row>
    <row r="657">
      <c r="A657" t="inlineStr">
        <is>
          <t>ORD-11477</t>
        </is>
      </c>
      <c r="B657" s="10" t="inlineStr">
        <is>
          <t>2024-08-17</t>
        </is>
      </c>
      <c r="C657" t="inlineStr">
        <is>
          <t>Customer 188</t>
        </is>
      </c>
      <c r="D657" t="inlineStr">
        <is>
          <t>South</t>
        </is>
      </c>
      <c r="E657" t="inlineStr">
        <is>
          <t>Technology</t>
        </is>
      </c>
      <c r="F657" t="inlineStr">
        <is>
          <t>Monitor</t>
        </is>
      </c>
      <c r="G657" t="inlineStr">
        <is>
          <t>Second Class</t>
        </is>
      </c>
      <c r="H657" t="n">
        <v>5</v>
      </c>
      <c r="I657" s="11" t="n">
        <v>560.61</v>
      </c>
      <c r="J657" s="12" t="n">
        <v>0</v>
      </c>
      <c r="K657" s="11" t="n">
        <v>2803.05</v>
      </c>
      <c r="L657" s="11" t="n">
        <v>1251.27</v>
      </c>
      <c r="M657" s="12" t="n">
        <v>0.4464</v>
      </c>
    </row>
    <row r="658">
      <c r="A658" t="inlineStr">
        <is>
          <t>ORD-11237</t>
        </is>
      </c>
      <c r="B658" s="10" t="inlineStr">
        <is>
          <t>2024-08-17</t>
        </is>
      </c>
      <c r="C658" t="inlineStr">
        <is>
          <t>Customer 78</t>
        </is>
      </c>
      <c r="D658" t="inlineStr">
        <is>
          <t>North</t>
        </is>
      </c>
      <c r="E658" t="inlineStr">
        <is>
          <t>Furniture</t>
        </is>
      </c>
      <c r="F658" t="inlineStr">
        <is>
          <t>Chair</t>
        </is>
      </c>
      <c r="G658" t="inlineStr">
        <is>
          <t>Standard Class</t>
        </is>
      </c>
      <c r="H658" t="n">
        <v>5</v>
      </c>
      <c r="I658" s="11" t="n">
        <v>666.8099999999999</v>
      </c>
      <c r="J658" s="12" t="n">
        <v>0</v>
      </c>
      <c r="K658" s="11" t="n">
        <v>3334.05</v>
      </c>
      <c r="L658" s="11" t="n">
        <v>768.74</v>
      </c>
      <c r="M658" s="12" t="n">
        <v>0.2306</v>
      </c>
    </row>
    <row r="659">
      <c r="A659" t="inlineStr">
        <is>
          <t>ORD-10314</t>
        </is>
      </c>
      <c r="B659" s="10" t="inlineStr">
        <is>
          <t>2024-08-17</t>
        </is>
      </c>
      <c r="C659" t="inlineStr">
        <is>
          <t>Customer 82</t>
        </is>
      </c>
      <c r="D659" t="inlineStr">
        <is>
          <t>South</t>
        </is>
      </c>
      <c r="E659" t="inlineStr">
        <is>
          <t>Office Supplies</t>
        </is>
      </c>
      <c r="F659" t="inlineStr">
        <is>
          <t>Stapler</t>
        </is>
      </c>
      <c r="G659" t="inlineStr">
        <is>
          <t>Same Day</t>
        </is>
      </c>
      <c r="H659" t="n">
        <v>11</v>
      </c>
      <c r="I659" s="11" t="n">
        <v>929.86</v>
      </c>
      <c r="J659" s="12" t="n">
        <v>0.1</v>
      </c>
      <c r="K659" s="11" t="n">
        <v>9205.610000000001</v>
      </c>
      <c r="L659" s="11" t="n">
        <v>1068.92</v>
      </c>
      <c r="M659" s="12" t="n">
        <v>0.1161</v>
      </c>
    </row>
    <row r="660">
      <c r="A660" t="inlineStr">
        <is>
          <t>ORD-10460</t>
        </is>
      </c>
      <c r="B660" s="10" t="inlineStr">
        <is>
          <t>2024-08-18</t>
        </is>
      </c>
      <c r="C660" t="inlineStr">
        <is>
          <t>Customer 51</t>
        </is>
      </c>
      <c r="D660" t="inlineStr">
        <is>
          <t>West</t>
        </is>
      </c>
      <c r="E660" t="inlineStr">
        <is>
          <t>Office Supplies</t>
        </is>
      </c>
      <c r="F660" t="inlineStr">
        <is>
          <t>Pens (Box)</t>
        </is>
      </c>
      <c r="G660" t="inlineStr">
        <is>
          <t>Same Day</t>
        </is>
      </c>
      <c r="H660" t="n">
        <v>6</v>
      </c>
      <c r="I660" s="11" t="n">
        <v>250.29</v>
      </c>
      <c r="J660" s="12" t="n">
        <v>0</v>
      </c>
      <c r="K660" s="11" t="n">
        <v>1501.74</v>
      </c>
      <c r="L660" s="11" t="n">
        <v>463.46</v>
      </c>
      <c r="M660" s="12" t="n">
        <v>0.3086</v>
      </c>
    </row>
    <row r="661">
      <c r="A661" t="inlineStr">
        <is>
          <t>ORD-11264</t>
        </is>
      </c>
      <c r="B661" s="10" t="inlineStr">
        <is>
          <t>2024-08-18</t>
        </is>
      </c>
      <c r="C661" t="inlineStr">
        <is>
          <t>Customer 115</t>
        </is>
      </c>
      <c r="D661" t="inlineStr">
        <is>
          <t>East</t>
        </is>
      </c>
      <c r="E661" t="inlineStr">
        <is>
          <t>Office Supplies</t>
        </is>
      </c>
      <c r="F661" t="inlineStr">
        <is>
          <t>Pens (Box)</t>
        </is>
      </c>
      <c r="G661" t="inlineStr">
        <is>
          <t>First Class</t>
        </is>
      </c>
      <c r="H661" t="n">
        <v>4</v>
      </c>
      <c r="I661" s="11" t="n">
        <v>42.15</v>
      </c>
      <c r="J661" s="12" t="n">
        <v>0</v>
      </c>
      <c r="K661" s="11" t="n">
        <v>168.6</v>
      </c>
      <c r="L661" s="11" t="n">
        <v>72.22</v>
      </c>
      <c r="M661" s="12" t="n">
        <v>0.4284</v>
      </c>
    </row>
    <row r="662">
      <c r="A662" t="inlineStr">
        <is>
          <t>ORD-11686</t>
        </is>
      </c>
      <c r="B662" s="10" t="inlineStr">
        <is>
          <t>2024-08-19</t>
        </is>
      </c>
      <c r="C662" t="inlineStr">
        <is>
          <t>Customer 164</t>
        </is>
      </c>
      <c r="D662" t="inlineStr">
        <is>
          <t>South</t>
        </is>
      </c>
      <c r="E662" t="inlineStr">
        <is>
          <t>Technology</t>
        </is>
      </c>
      <c r="F662" t="inlineStr">
        <is>
          <t>Monitor</t>
        </is>
      </c>
      <c r="G662" t="inlineStr">
        <is>
          <t>Same Day</t>
        </is>
      </c>
      <c r="H662" t="n">
        <v>5</v>
      </c>
      <c r="I662" s="11" t="n">
        <v>888.26</v>
      </c>
      <c r="J662" s="12" t="n">
        <v>0</v>
      </c>
      <c r="K662" s="11" t="n">
        <v>4441.3</v>
      </c>
      <c r="L662" s="11" t="n">
        <v>1822.26</v>
      </c>
      <c r="M662" s="12" t="n">
        <v>0.4103</v>
      </c>
    </row>
    <row r="663">
      <c r="A663" t="inlineStr">
        <is>
          <t>ORD-11162</t>
        </is>
      </c>
      <c r="B663" s="10" t="inlineStr">
        <is>
          <t>2024-08-19</t>
        </is>
      </c>
      <c r="C663" t="inlineStr">
        <is>
          <t>Customer 132</t>
        </is>
      </c>
      <c r="D663" t="inlineStr">
        <is>
          <t>East</t>
        </is>
      </c>
      <c r="E663" t="inlineStr">
        <is>
          <t>Technology</t>
        </is>
      </c>
      <c r="F663" t="inlineStr">
        <is>
          <t>Monitor</t>
        </is>
      </c>
      <c r="G663" t="inlineStr">
        <is>
          <t>First Class</t>
        </is>
      </c>
      <c r="H663" t="n">
        <v>11</v>
      </c>
      <c r="I663" s="11" t="n">
        <v>841.8099999999999</v>
      </c>
      <c r="J663" s="12" t="n">
        <v>0.15</v>
      </c>
      <c r="K663" s="11" t="n">
        <v>7870.92</v>
      </c>
      <c r="L663" s="11" t="n">
        <v>2520.03</v>
      </c>
      <c r="M663" s="12" t="n">
        <v>0.3202</v>
      </c>
    </row>
    <row r="664">
      <c r="A664" t="inlineStr">
        <is>
          <t>ORD-11026</t>
        </is>
      </c>
      <c r="B664" s="10" t="inlineStr">
        <is>
          <t>2024-08-19</t>
        </is>
      </c>
      <c r="C664" t="inlineStr">
        <is>
          <t>Customer 143</t>
        </is>
      </c>
      <c r="D664" t="inlineStr">
        <is>
          <t>South</t>
        </is>
      </c>
      <c r="E664" t="inlineStr">
        <is>
          <t>Office Supplies</t>
        </is>
      </c>
      <c r="F664" t="inlineStr">
        <is>
          <t>Stapler</t>
        </is>
      </c>
      <c r="G664" t="inlineStr">
        <is>
          <t>Same Day</t>
        </is>
      </c>
      <c r="H664" t="n">
        <v>8</v>
      </c>
      <c r="I664" s="11" t="n">
        <v>773.25</v>
      </c>
      <c r="J664" s="12" t="n">
        <v>0.15</v>
      </c>
      <c r="K664" s="11" t="n">
        <v>5258.1</v>
      </c>
      <c r="L664" s="11" t="n">
        <v>1134.88</v>
      </c>
      <c r="M664" s="12" t="n">
        <v>0.2158</v>
      </c>
    </row>
    <row r="665">
      <c r="A665" t="inlineStr">
        <is>
          <t>ORD-11587</t>
        </is>
      </c>
      <c r="B665" s="10" t="inlineStr">
        <is>
          <t>2024-08-19</t>
        </is>
      </c>
      <c r="C665" t="inlineStr">
        <is>
          <t>Customer 96</t>
        </is>
      </c>
      <c r="D665" t="inlineStr">
        <is>
          <t>South</t>
        </is>
      </c>
      <c r="E665" t="inlineStr">
        <is>
          <t>Furniture</t>
        </is>
      </c>
      <c r="F665" t="inlineStr">
        <is>
          <t>Table Lamp</t>
        </is>
      </c>
      <c r="G665" t="inlineStr">
        <is>
          <t>First Class</t>
        </is>
      </c>
      <c r="H665" t="n">
        <v>6</v>
      </c>
      <c r="I665" s="11" t="n">
        <v>32.57</v>
      </c>
      <c r="J665" s="12" t="n">
        <v>0</v>
      </c>
      <c r="K665" s="11" t="n">
        <v>195.42</v>
      </c>
      <c r="L665" s="11" t="n">
        <v>62.26</v>
      </c>
      <c r="M665" s="12" t="n">
        <v>0.3186</v>
      </c>
    </row>
    <row r="666">
      <c r="A666" t="inlineStr">
        <is>
          <t>ORD-11801</t>
        </is>
      </c>
      <c r="B666" s="10" t="inlineStr">
        <is>
          <t>2024-08-19</t>
        </is>
      </c>
      <c r="C666" t="inlineStr">
        <is>
          <t>Customer 58</t>
        </is>
      </c>
      <c r="D666" t="inlineStr">
        <is>
          <t>North</t>
        </is>
      </c>
      <c r="E666" t="inlineStr">
        <is>
          <t>Office Supplies</t>
        </is>
      </c>
      <c r="F666" t="inlineStr">
        <is>
          <t>Pens (Box)</t>
        </is>
      </c>
      <c r="G666" t="inlineStr">
        <is>
          <t>First Class</t>
        </is>
      </c>
      <c r="H666" t="n">
        <v>5</v>
      </c>
      <c r="I666" s="11" t="n">
        <v>844.74</v>
      </c>
      <c r="J666" s="12" t="n">
        <v>0.1</v>
      </c>
      <c r="K666" s="11" t="n">
        <v>3801.33</v>
      </c>
      <c r="L666" s="11" t="n">
        <v>692.86</v>
      </c>
      <c r="M666" s="12" t="n">
        <v>0.1823</v>
      </c>
    </row>
    <row r="667">
      <c r="A667" t="inlineStr">
        <is>
          <t>ORD-10160</t>
        </is>
      </c>
      <c r="B667" s="10" t="inlineStr">
        <is>
          <t>2024-08-20</t>
        </is>
      </c>
      <c r="C667" t="inlineStr">
        <is>
          <t>Customer 44</t>
        </is>
      </c>
      <c r="D667" t="inlineStr">
        <is>
          <t>South</t>
        </is>
      </c>
      <c r="E667" t="inlineStr">
        <is>
          <t>Furniture</t>
        </is>
      </c>
      <c r="F667" t="inlineStr">
        <is>
          <t>Table Lamp</t>
        </is>
      </c>
      <c r="G667" t="inlineStr">
        <is>
          <t>First Class</t>
        </is>
      </c>
      <c r="H667" t="n">
        <v>4</v>
      </c>
      <c r="I667" s="11" t="n">
        <v>556.14</v>
      </c>
      <c r="J667" s="12" t="n">
        <v>0</v>
      </c>
      <c r="K667" s="11" t="n">
        <v>2224.56</v>
      </c>
      <c r="L667" s="11" t="n">
        <v>1072.25</v>
      </c>
      <c r="M667" s="12" t="n">
        <v>0.482</v>
      </c>
    </row>
    <row r="668">
      <c r="A668" t="inlineStr">
        <is>
          <t>ORD-10787</t>
        </is>
      </c>
      <c r="B668" s="10" t="inlineStr">
        <is>
          <t>2024-08-21</t>
        </is>
      </c>
      <c r="C668" t="inlineStr">
        <is>
          <t>Customer 33</t>
        </is>
      </c>
      <c r="D668" t="inlineStr">
        <is>
          <t>North</t>
        </is>
      </c>
      <c r="E668" t="inlineStr">
        <is>
          <t>Furniture</t>
        </is>
      </c>
      <c r="F668" t="inlineStr">
        <is>
          <t>Table Lamp</t>
        </is>
      </c>
      <c r="G668" t="inlineStr">
        <is>
          <t>First Class</t>
        </is>
      </c>
      <c r="H668" t="n">
        <v>5</v>
      </c>
      <c r="I668" s="11" t="n">
        <v>297.89</v>
      </c>
      <c r="J668" s="12" t="n">
        <v>0.3</v>
      </c>
      <c r="K668" s="11" t="n">
        <v>1042.61</v>
      </c>
      <c r="L668" s="11" t="n">
        <v>-177.02</v>
      </c>
      <c r="M668" s="12" t="n">
        <v>-0.1698</v>
      </c>
    </row>
    <row r="669">
      <c r="A669" t="inlineStr">
        <is>
          <t>ORD-11148</t>
        </is>
      </c>
      <c r="B669" s="10" t="inlineStr">
        <is>
          <t>2024-08-22</t>
        </is>
      </c>
      <c r="C669" t="inlineStr">
        <is>
          <t>Customer 180</t>
        </is>
      </c>
      <c r="D669" t="inlineStr">
        <is>
          <t>East</t>
        </is>
      </c>
      <c r="E669" t="inlineStr">
        <is>
          <t>Furniture</t>
        </is>
      </c>
      <c r="F669" t="inlineStr">
        <is>
          <t>Desk</t>
        </is>
      </c>
      <c r="G669" t="inlineStr">
        <is>
          <t>Second Class</t>
        </is>
      </c>
      <c r="H669" t="n">
        <v>7</v>
      </c>
      <c r="I669" s="11" t="n">
        <v>1025.82</v>
      </c>
      <c r="J669" s="12" t="n">
        <v>0.15</v>
      </c>
      <c r="K669" s="11" t="n">
        <v>6103.63</v>
      </c>
      <c r="L669" s="11" t="n">
        <v>216.05</v>
      </c>
      <c r="M669" s="12" t="n">
        <v>0.0354</v>
      </c>
    </row>
    <row r="670">
      <c r="A670" t="inlineStr">
        <is>
          <t>ORD-10743</t>
        </is>
      </c>
      <c r="B670" s="10" t="inlineStr">
        <is>
          <t>2024-08-22</t>
        </is>
      </c>
      <c r="C670" t="inlineStr">
        <is>
          <t>Customer 57</t>
        </is>
      </c>
      <c r="D670" t="inlineStr">
        <is>
          <t>East</t>
        </is>
      </c>
      <c r="E670" t="inlineStr">
        <is>
          <t>Office Supplies</t>
        </is>
      </c>
      <c r="F670" t="inlineStr">
        <is>
          <t>Stapler</t>
        </is>
      </c>
      <c r="G670" t="inlineStr">
        <is>
          <t>Second Class</t>
        </is>
      </c>
      <c r="H670" t="n">
        <v>6</v>
      </c>
      <c r="I670" s="11" t="n">
        <v>412.92</v>
      </c>
      <c r="J670" s="12" t="n">
        <v>0</v>
      </c>
      <c r="K670" s="11" t="n">
        <v>2477.52</v>
      </c>
      <c r="L670" s="11" t="n">
        <v>818.24</v>
      </c>
      <c r="M670" s="12" t="n">
        <v>0.3303</v>
      </c>
    </row>
    <row r="671">
      <c r="A671" t="inlineStr">
        <is>
          <t>ORD-10542</t>
        </is>
      </c>
      <c r="B671" s="10" t="inlineStr">
        <is>
          <t>2024-08-22</t>
        </is>
      </c>
      <c r="C671" t="inlineStr">
        <is>
          <t>Customer 128</t>
        </is>
      </c>
      <c r="D671" t="inlineStr">
        <is>
          <t>West</t>
        </is>
      </c>
      <c r="E671" t="inlineStr">
        <is>
          <t>Technology</t>
        </is>
      </c>
      <c r="F671" t="inlineStr">
        <is>
          <t>Laptop</t>
        </is>
      </c>
      <c r="G671" t="inlineStr">
        <is>
          <t>Second Class</t>
        </is>
      </c>
      <c r="H671" t="n">
        <v>10</v>
      </c>
      <c r="I671" s="11" t="n">
        <v>1157.32</v>
      </c>
      <c r="J671" s="12" t="n">
        <v>0</v>
      </c>
      <c r="K671" s="11" t="n">
        <v>11573.2</v>
      </c>
      <c r="L671" s="11" t="n">
        <v>4662.51</v>
      </c>
      <c r="M671" s="12" t="n">
        <v>0.4029</v>
      </c>
    </row>
    <row r="672">
      <c r="A672" t="inlineStr">
        <is>
          <t>ORD-10580</t>
        </is>
      </c>
      <c r="B672" s="10" t="inlineStr">
        <is>
          <t>2024-08-24</t>
        </is>
      </c>
      <c r="C672" t="inlineStr">
        <is>
          <t>Customer 92</t>
        </is>
      </c>
      <c r="D672" t="inlineStr">
        <is>
          <t>West</t>
        </is>
      </c>
      <c r="E672" t="inlineStr">
        <is>
          <t>Furniture</t>
        </is>
      </c>
      <c r="F672" t="inlineStr">
        <is>
          <t>Table Lamp</t>
        </is>
      </c>
      <c r="G672" t="inlineStr">
        <is>
          <t>Second Class</t>
        </is>
      </c>
      <c r="H672" t="n">
        <v>7</v>
      </c>
      <c r="I672" s="11" t="n">
        <v>678.75</v>
      </c>
      <c r="J672" s="12" t="n">
        <v>0</v>
      </c>
      <c r="K672" s="11" t="n">
        <v>4751.25</v>
      </c>
      <c r="L672" s="11" t="n">
        <v>1344.42</v>
      </c>
      <c r="M672" s="12" t="n">
        <v>0.283</v>
      </c>
    </row>
    <row r="673">
      <c r="A673" t="inlineStr">
        <is>
          <t>ORD-10340</t>
        </is>
      </c>
      <c r="B673" s="10" t="inlineStr">
        <is>
          <t>2024-08-24</t>
        </is>
      </c>
      <c r="C673" t="inlineStr">
        <is>
          <t>Customer 198</t>
        </is>
      </c>
      <c r="D673" t="inlineStr">
        <is>
          <t>North</t>
        </is>
      </c>
      <c r="E673" t="inlineStr">
        <is>
          <t>Office Supplies</t>
        </is>
      </c>
      <c r="F673" t="inlineStr">
        <is>
          <t>Binder</t>
        </is>
      </c>
      <c r="G673" t="inlineStr">
        <is>
          <t>Same Day</t>
        </is>
      </c>
      <c r="H673" t="n">
        <v>2</v>
      </c>
      <c r="I673" s="11" t="n">
        <v>628.45</v>
      </c>
      <c r="J673" s="12" t="n">
        <v>0</v>
      </c>
      <c r="K673" s="11" t="n">
        <v>1256.9</v>
      </c>
      <c r="L673" s="11" t="n">
        <v>365.31</v>
      </c>
      <c r="M673" s="12" t="n">
        <v>0.2906</v>
      </c>
    </row>
    <row r="674">
      <c r="A674" t="inlineStr">
        <is>
          <t>ORD-10698</t>
        </is>
      </c>
      <c r="B674" s="10" t="inlineStr">
        <is>
          <t>2024-08-25</t>
        </is>
      </c>
      <c r="C674" t="inlineStr">
        <is>
          <t>Customer 166</t>
        </is>
      </c>
      <c r="D674" t="inlineStr">
        <is>
          <t>West</t>
        </is>
      </c>
      <c r="E674" t="inlineStr">
        <is>
          <t>Furniture</t>
        </is>
      </c>
      <c r="F674" t="inlineStr">
        <is>
          <t>Desk</t>
        </is>
      </c>
      <c r="G674" t="inlineStr">
        <is>
          <t>Second Class</t>
        </is>
      </c>
      <c r="H674" t="n">
        <v>7</v>
      </c>
      <c r="I674" s="11" t="n">
        <v>329.17</v>
      </c>
      <c r="J674" s="12" t="n">
        <v>0</v>
      </c>
      <c r="K674" s="11" t="n">
        <v>2304.19</v>
      </c>
      <c r="L674" s="11" t="n">
        <v>1109.33</v>
      </c>
      <c r="M674" s="12" t="n">
        <v>0.4814</v>
      </c>
    </row>
    <row r="675">
      <c r="A675" t="inlineStr">
        <is>
          <t>ORD-11804</t>
        </is>
      </c>
      <c r="B675" s="10" t="inlineStr">
        <is>
          <t>2024-08-25</t>
        </is>
      </c>
      <c r="C675" t="inlineStr">
        <is>
          <t>Customer 62</t>
        </is>
      </c>
      <c r="D675" t="inlineStr">
        <is>
          <t>East</t>
        </is>
      </c>
      <c r="E675" t="inlineStr">
        <is>
          <t>Furniture</t>
        </is>
      </c>
      <c r="F675" t="inlineStr">
        <is>
          <t>Table Lamp</t>
        </is>
      </c>
      <c r="G675" t="inlineStr">
        <is>
          <t>Second Class</t>
        </is>
      </c>
      <c r="H675" t="n">
        <v>1</v>
      </c>
      <c r="I675" s="11" t="n">
        <v>942.4</v>
      </c>
      <c r="J675" s="12" t="n">
        <v>0.1</v>
      </c>
      <c r="K675" s="11" t="n">
        <v>848.16</v>
      </c>
      <c r="L675" s="11" t="n">
        <v>147.54</v>
      </c>
      <c r="M675" s="12" t="n">
        <v>0.174</v>
      </c>
    </row>
    <row r="676">
      <c r="A676" t="inlineStr">
        <is>
          <t>ORD-10092</t>
        </is>
      </c>
      <c r="B676" s="10" t="inlineStr">
        <is>
          <t>2024-08-25</t>
        </is>
      </c>
      <c r="C676" t="inlineStr">
        <is>
          <t>Customer 197</t>
        </is>
      </c>
      <c r="D676" t="inlineStr">
        <is>
          <t>South</t>
        </is>
      </c>
      <c r="E676" t="inlineStr">
        <is>
          <t>Technology</t>
        </is>
      </c>
      <c r="F676" t="inlineStr">
        <is>
          <t>Laptop</t>
        </is>
      </c>
      <c r="G676" t="inlineStr">
        <is>
          <t>First Class</t>
        </is>
      </c>
      <c r="H676" t="n">
        <v>7</v>
      </c>
      <c r="I676" s="11" t="n">
        <v>1091.33</v>
      </c>
      <c r="J676" s="12" t="n">
        <v>0</v>
      </c>
      <c r="K676" s="11" t="n">
        <v>7639.31</v>
      </c>
      <c r="L676" s="11" t="n">
        <v>1834.88</v>
      </c>
      <c r="M676" s="12" t="n">
        <v>0.2402</v>
      </c>
    </row>
    <row r="677">
      <c r="A677" t="inlineStr">
        <is>
          <t>ORD-10145</t>
        </is>
      </c>
      <c r="B677" s="10" t="inlineStr">
        <is>
          <t>2024-08-25</t>
        </is>
      </c>
      <c r="C677" t="inlineStr">
        <is>
          <t>Customer 88</t>
        </is>
      </c>
      <c r="D677" t="inlineStr">
        <is>
          <t>South</t>
        </is>
      </c>
      <c r="E677" t="inlineStr">
        <is>
          <t>Technology</t>
        </is>
      </c>
      <c r="F677" t="inlineStr">
        <is>
          <t>Printer</t>
        </is>
      </c>
      <c r="G677" t="inlineStr">
        <is>
          <t>Standard Class</t>
        </is>
      </c>
      <c r="H677" t="n">
        <v>5</v>
      </c>
      <c r="I677" s="11" t="n">
        <v>530.86</v>
      </c>
      <c r="J677" s="12" t="n">
        <v>0</v>
      </c>
      <c r="K677" s="11" t="n">
        <v>2654.3</v>
      </c>
      <c r="L677" s="11" t="n">
        <v>1241.94</v>
      </c>
      <c r="M677" s="12" t="n">
        <v>0.4679</v>
      </c>
    </row>
    <row r="678">
      <c r="A678" t="inlineStr">
        <is>
          <t>ORD-11623</t>
        </is>
      </c>
      <c r="B678" s="10" t="inlineStr">
        <is>
          <t>2024-08-26</t>
        </is>
      </c>
      <c r="C678" t="inlineStr">
        <is>
          <t>Customer 62</t>
        </is>
      </c>
      <c r="D678" t="inlineStr">
        <is>
          <t>East</t>
        </is>
      </c>
      <c r="E678" t="inlineStr">
        <is>
          <t>Office Supplies</t>
        </is>
      </c>
      <c r="F678" t="inlineStr">
        <is>
          <t>Stapler</t>
        </is>
      </c>
      <c r="G678" t="inlineStr">
        <is>
          <t>Standard Class</t>
        </is>
      </c>
      <c r="H678" t="n">
        <v>8</v>
      </c>
      <c r="I678" s="11" t="n">
        <v>388.86</v>
      </c>
      <c r="J678" s="12" t="n">
        <v>0</v>
      </c>
      <c r="K678" s="11" t="n">
        <v>3110.88</v>
      </c>
      <c r="L678" s="11" t="n">
        <v>666.63</v>
      </c>
      <c r="M678" s="12" t="n">
        <v>0.2143</v>
      </c>
    </row>
    <row r="679">
      <c r="A679" t="inlineStr">
        <is>
          <t>ORD-10564</t>
        </is>
      </c>
      <c r="B679" s="10" t="inlineStr">
        <is>
          <t>2024-08-26</t>
        </is>
      </c>
      <c r="C679" t="inlineStr">
        <is>
          <t>Customer 105</t>
        </is>
      </c>
      <c r="D679" t="inlineStr">
        <is>
          <t>West</t>
        </is>
      </c>
      <c r="E679" t="inlineStr">
        <is>
          <t>Furniture</t>
        </is>
      </c>
      <c r="F679" t="inlineStr">
        <is>
          <t>Table Lamp</t>
        </is>
      </c>
      <c r="G679" t="inlineStr">
        <is>
          <t>Same Day</t>
        </is>
      </c>
      <c r="H679" t="n">
        <v>6</v>
      </c>
      <c r="I679" s="11" t="n">
        <v>110.63</v>
      </c>
      <c r="J679" s="12" t="n">
        <v>0</v>
      </c>
      <c r="K679" s="11" t="n">
        <v>663.78</v>
      </c>
      <c r="L679" s="11" t="n">
        <v>318.32</v>
      </c>
      <c r="M679" s="12" t="n">
        <v>0.4796</v>
      </c>
    </row>
    <row r="680">
      <c r="A680" t="inlineStr">
        <is>
          <t>ORD-10675</t>
        </is>
      </c>
      <c r="B680" s="10" t="inlineStr">
        <is>
          <t>2024-08-26</t>
        </is>
      </c>
      <c r="C680" t="inlineStr">
        <is>
          <t>Customer 69</t>
        </is>
      </c>
      <c r="D680" t="inlineStr">
        <is>
          <t>South</t>
        </is>
      </c>
      <c r="E680" t="inlineStr">
        <is>
          <t>Technology</t>
        </is>
      </c>
      <c r="F680" t="inlineStr">
        <is>
          <t>Wireless Mouse</t>
        </is>
      </c>
      <c r="G680" t="inlineStr">
        <is>
          <t>Standard Class</t>
        </is>
      </c>
      <c r="H680" t="n">
        <v>6</v>
      </c>
      <c r="I680" s="11" t="n">
        <v>643.55</v>
      </c>
      <c r="J680" s="12" t="n">
        <v>0</v>
      </c>
      <c r="K680" s="11" t="n">
        <v>2245.89</v>
      </c>
      <c r="L680" s="11" t="n">
        <v>646.9449999999999</v>
      </c>
      <c r="M680" s="12" t="n">
        <v>0.2881</v>
      </c>
    </row>
    <row r="681">
      <c r="A681" t="inlineStr">
        <is>
          <t>ORD-11076</t>
        </is>
      </c>
      <c r="B681" s="10" t="inlineStr">
        <is>
          <t>2024-08-27</t>
        </is>
      </c>
      <c r="C681" t="inlineStr">
        <is>
          <t>Customer 91</t>
        </is>
      </c>
      <c r="D681" t="inlineStr">
        <is>
          <t>South</t>
        </is>
      </c>
      <c r="E681" t="inlineStr">
        <is>
          <t>Furniture</t>
        </is>
      </c>
      <c r="F681" t="inlineStr">
        <is>
          <t>Chair</t>
        </is>
      </c>
      <c r="G681" t="inlineStr">
        <is>
          <t>Same Day</t>
        </is>
      </c>
      <c r="H681" t="n">
        <v>11</v>
      </c>
      <c r="I681" s="11" t="n">
        <v>578.41</v>
      </c>
      <c r="J681" s="12" t="n">
        <v>0</v>
      </c>
      <c r="K681" s="11" t="n">
        <v>6362.51</v>
      </c>
      <c r="L681" s="11" t="n">
        <v>1317.47</v>
      </c>
      <c r="M681" s="12" t="n">
        <v>0.2071</v>
      </c>
    </row>
    <row r="682">
      <c r="A682" t="inlineStr">
        <is>
          <t>ORD-11684</t>
        </is>
      </c>
      <c r="B682" s="10" t="inlineStr">
        <is>
          <t>2024-08-27</t>
        </is>
      </c>
      <c r="C682" t="inlineStr">
        <is>
          <t>Customer 196</t>
        </is>
      </c>
      <c r="D682" t="inlineStr">
        <is>
          <t>North</t>
        </is>
      </c>
      <c r="E682" t="inlineStr">
        <is>
          <t>Technology</t>
        </is>
      </c>
      <c r="F682" t="inlineStr">
        <is>
          <t>Wireless Mouse</t>
        </is>
      </c>
      <c r="G682" t="inlineStr">
        <is>
          <t>Same Day</t>
        </is>
      </c>
      <c r="H682" t="n">
        <v>4</v>
      </c>
      <c r="I682" s="11" t="n">
        <v>887.66</v>
      </c>
      <c r="J682" s="12" t="n">
        <v>0</v>
      </c>
      <c r="K682" s="11" t="n">
        <v>3550.64</v>
      </c>
      <c r="L682" s="11" t="n">
        <v>1016.07</v>
      </c>
      <c r="M682" s="12" t="n">
        <v>0.2862</v>
      </c>
    </row>
    <row r="683">
      <c r="A683" t="inlineStr">
        <is>
          <t>ORD-11069</t>
        </is>
      </c>
      <c r="B683" s="10" t="inlineStr">
        <is>
          <t>2024-08-27</t>
        </is>
      </c>
      <c r="C683" t="inlineStr">
        <is>
          <t>Customer 97</t>
        </is>
      </c>
      <c r="D683" t="inlineStr">
        <is>
          <t>North</t>
        </is>
      </c>
      <c r="E683" t="inlineStr">
        <is>
          <t>Furniture</t>
        </is>
      </c>
      <c r="F683" t="inlineStr">
        <is>
          <t>Desk</t>
        </is>
      </c>
      <c r="G683" t="inlineStr">
        <is>
          <t>Second Class</t>
        </is>
      </c>
      <c r="H683" t="n">
        <v>3</v>
      </c>
      <c r="I683" s="11" t="n">
        <v>1154.54</v>
      </c>
      <c r="J683" s="12" t="n">
        <v>0</v>
      </c>
      <c r="K683" s="11" t="n">
        <v>2424.53</v>
      </c>
      <c r="L683" s="11" t="n">
        <v>229.73</v>
      </c>
      <c r="M683" s="12" t="n">
        <v>0.0948</v>
      </c>
    </row>
    <row r="684">
      <c r="A684" t="inlineStr">
        <is>
          <t>ORD-11849</t>
        </is>
      </c>
      <c r="B684" s="10" t="inlineStr">
        <is>
          <t>2024-08-27</t>
        </is>
      </c>
      <c r="C684" t="inlineStr">
        <is>
          <t>Customer 42</t>
        </is>
      </c>
      <c r="D684" t="inlineStr">
        <is>
          <t>West</t>
        </is>
      </c>
      <c r="E684" t="inlineStr">
        <is>
          <t>Office Supplies</t>
        </is>
      </c>
      <c r="F684" t="inlineStr">
        <is>
          <t>Binder</t>
        </is>
      </c>
      <c r="G684" t="inlineStr">
        <is>
          <t>First Class</t>
        </is>
      </c>
      <c r="H684" t="n">
        <v>2</v>
      </c>
      <c r="I684" s="11" t="n">
        <v>759.64</v>
      </c>
      <c r="J684" s="12" t="n">
        <v>0</v>
      </c>
      <c r="K684" s="11" t="n">
        <v>1519.28</v>
      </c>
      <c r="L684" s="11" t="n">
        <v>556.5599999999999</v>
      </c>
      <c r="M684" s="12" t="n">
        <v>0.3663</v>
      </c>
    </row>
    <row r="685">
      <c r="A685" t="inlineStr">
        <is>
          <t>ORD-10809</t>
        </is>
      </c>
      <c r="B685" s="10" t="inlineStr">
        <is>
          <t>2024-08-27</t>
        </is>
      </c>
      <c r="C685" t="inlineStr">
        <is>
          <t>Customer 163</t>
        </is>
      </c>
      <c r="D685" t="inlineStr">
        <is>
          <t>South</t>
        </is>
      </c>
      <c r="E685" t="inlineStr">
        <is>
          <t>Technology</t>
        </is>
      </c>
      <c r="F685" t="inlineStr">
        <is>
          <t>Printer</t>
        </is>
      </c>
      <c r="G685" t="inlineStr">
        <is>
          <t>Standard Class</t>
        </is>
      </c>
      <c r="H685" t="n">
        <v>6</v>
      </c>
      <c r="I685" s="11" t="n">
        <v>643.55</v>
      </c>
      <c r="J685" s="12" t="n">
        <v>0</v>
      </c>
      <c r="K685" s="11" t="n">
        <v>6948.54</v>
      </c>
      <c r="L685" s="11" t="n">
        <v>646.9449999999999</v>
      </c>
      <c r="M685" s="12" t="n">
        <v>0.0931</v>
      </c>
    </row>
    <row r="686">
      <c r="A686" t="inlineStr">
        <is>
          <t>ORD-11857</t>
        </is>
      </c>
      <c r="B686" s="10" t="inlineStr">
        <is>
          <t>2024-08-27</t>
        </is>
      </c>
      <c r="C686" t="inlineStr">
        <is>
          <t>Customer 50</t>
        </is>
      </c>
      <c r="D686" t="inlineStr">
        <is>
          <t>West</t>
        </is>
      </c>
      <c r="E686" t="inlineStr">
        <is>
          <t>Furniture</t>
        </is>
      </c>
      <c r="F686" t="inlineStr">
        <is>
          <t>Desk</t>
        </is>
      </c>
      <c r="G686" t="inlineStr">
        <is>
          <t>Standard Class</t>
        </is>
      </c>
      <c r="H686" t="n">
        <v>1</v>
      </c>
      <c r="I686" s="11" t="n">
        <v>562.22</v>
      </c>
      <c r="J686" s="12" t="n">
        <v>0.3</v>
      </c>
      <c r="K686" s="11" t="n">
        <v>393.55</v>
      </c>
      <c r="L686" s="11" t="n">
        <v>58.03</v>
      </c>
      <c r="M686" s="12" t="n">
        <v>0.1475</v>
      </c>
    </row>
    <row r="687">
      <c r="A687" t="inlineStr">
        <is>
          <t>ORD-11404</t>
        </is>
      </c>
      <c r="B687" s="10" t="inlineStr">
        <is>
          <t>2024-08-27</t>
        </is>
      </c>
      <c r="C687" t="inlineStr">
        <is>
          <t>Customer 158</t>
        </is>
      </c>
      <c r="D687" t="inlineStr">
        <is>
          <t>East</t>
        </is>
      </c>
      <c r="E687" t="inlineStr">
        <is>
          <t>Furniture</t>
        </is>
      </c>
      <c r="F687" t="inlineStr">
        <is>
          <t>Table Lamp</t>
        </is>
      </c>
      <c r="G687" t="inlineStr">
        <is>
          <t>Same Day</t>
        </is>
      </c>
      <c r="H687" t="n">
        <v>10</v>
      </c>
      <c r="I687" s="11" t="n">
        <v>403.68</v>
      </c>
      <c r="J687" s="12" t="n">
        <v>0.1</v>
      </c>
      <c r="K687" s="11" t="n">
        <v>3633.12</v>
      </c>
      <c r="L687" s="11" t="n">
        <v>1545.42</v>
      </c>
      <c r="M687" s="12" t="n">
        <v>0.4254</v>
      </c>
    </row>
    <row r="688">
      <c r="A688" t="inlineStr">
        <is>
          <t>ORD-10069</t>
        </is>
      </c>
      <c r="B688" s="10" t="inlineStr">
        <is>
          <t>2024-08-27</t>
        </is>
      </c>
      <c r="C688" t="inlineStr">
        <is>
          <t>Customer 120</t>
        </is>
      </c>
      <c r="D688" t="inlineStr">
        <is>
          <t>North</t>
        </is>
      </c>
      <c r="E688" t="inlineStr">
        <is>
          <t>Office Supplies</t>
        </is>
      </c>
      <c r="F688" t="inlineStr">
        <is>
          <t>Pens (Box)</t>
        </is>
      </c>
      <c r="G688" t="inlineStr">
        <is>
          <t>Same Day</t>
        </is>
      </c>
      <c r="H688" t="n">
        <v>11</v>
      </c>
      <c r="I688" s="11" t="n">
        <v>174.21</v>
      </c>
      <c r="J688" s="12" t="n">
        <v>0</v>
      </c>
      <c r="K688" s="11" t="n">
        <v>1916.31</v>
      </c>
      <c r="L688" s="11" t="n">
        <v>694.85</v>
      </c>
      <c r="M688" s="12" t="n">
        <v>0.3626</v>
      </c>
    </row>
    <row r="689">
      <c r="A689" t="inlineStr">
        <is>
          <t>ORD-10514</t>
        </is>
      </c>
      <c r="B689" s="10" t="inlineStr">
        <is>
          <t>2024-08-28</t>
        </is>
      </c>
      <c r="C689" t="inlineStr">
        <is>
          <t>Customer 135</t>
        </is>
      </c>
      <c r="D689" t="inlineStr">
        <is>
          <t>West</t>
        </is>
      </c>
      <c r="E689" t="inlineStr">
        <is>
          <t>Furniture</t>
        </is>
      </c>
      <c r="F689" t="inlineStr">
        <is>
          <t>Bookcase</t>
        </is>
      </c>
      <c r="G689" t="inlineStr">
        <is>
          <t>Second Class</t>
        </is>
      </c>
      <c r="H689" t="n">
        <v>11</v>
      </c>
      <c r="I689" s="11" t="n">
        <v>390.19</v>
      </c>
      <c r="J689" s="12" t="n">
        <v>0</v>
      </c>
      <c r="K689" s="11" t="n">
        <v>4292.09</v>
      </c>
      <c r="L689" s="11" t="n">
        <v>1250.36</v>
      </c>
      <c r="M689" s="12" t="n">
        <v>0.2913</v>
      </c>
    </row>
    <row r="690">
      <c r="A690" t="inlineStr">
        <is>
          <t>ORD-10865</t>
        </is>
      </c>
      <c r="B690" s="10" t="inlineStr">
        <is>
          <t>2024-08-28</t>
        </is>
      </c>
      <c r="C690" t="inlineStr">
        <is>
          <t>Customer 109</t>
        </is>
      </c>
      <c r="D690" t="inlineStr">
        <is>
          <t>South</t>
        </is>
      </c>
      <c r="E690" t="inlineStr">
        <is>
          <t>Office Supplies</t>
        </is>
      </c>
      <c r="F690" t="inlineStr">
        <is>
          <t>Paper</t>
        </is>
      </c>
      <c r="G690" t="inlineStr">
        <is>
          <t>Second Class</t>
        </is>
      </c>
      <c r="H690" t="n">
        <v>11</v>
      </c>
      <c r="I690" s="11" t="n">
        <v>122.52</v>
      </c>
      <c r="J690" s="12" t="n">
        <v>0</v>
      </c>
      <c r="K690" s="11" t="n">
        <v>1347.72</v>
      </c>
      <c r="L690" s="11" t="n">
        <v>313.77</v>
      </c>
      <c r="M690" s="12" t="n">
        <v>0.2328</v>
      </c>
    </row>
    <row r="691">
      <c r="A691" t="inlineStr">
        <is>
          <t>ORD-11198</t>
        </is>
      </c>
      <c r="B691" s="10" t="inlineStr">
        <is>
          <t>2024-08-28</t>
        </is>
      </c>
      <c r="C691" t="inlineStr">
        <is>
          <t>Customer 51</t>
        </is>
      </c>
      <c r="D691" t="inlineStr">
        <is>
          <t>West</t>
        </is>
      </c>
      <c r="E691" t="inlineStr">
        <is>
          <t>Technology</t>
        </is>
      </c>
      <c r="F691" t="inlineStr">
        <is>
          <t>Laptop</t>
        </is>
      </c>
      <c r="G691" t="inlineStr">
        <is>
          <t>Second Class</t>
        </is>
      </c>
      <c r="H691" t="n">
        <v>2</v>
      </c>
      <c r="I691" s="11" t="n">
        <v>851.63</v>
      </c>
      <c r="J691" s="12" t="n">
        <v>0</v>
      </c>
      <c r="K691" s="11" t="n">
        <v>1703.26</v>
      </c>
      <c r="L691" s="11" t="n">
        <v>637.1900000000001</v>
      </c>
      <c r="M691" s="12" t="n">
        <v>0.3741</v>
      </c>
    </row>
    <row r="692">
      <c r="A692" t="inlineStr">
        <is>
          <t>ORD-10818</t>
        </is>
      </c>
      <c r="B692" s="10" t="inlineStr">
        <is>
          <t>2024-08-29</t>
        </is>
      </c>
      <c r="C692" t="inlineStr">
        <is>
          <t>Customer 123</t>
        </is>
      </c>
      <c r="D692" t="inlineStr">
        <is>
          <t>East</t>
        </is>
      </c>
      <c r="E692" t="inlineStr">
        <is>
          <t>Furniture</t>
        </is>
      </c>
      <c r="F692" t="inlineStr">
        <is>
          <t>Table Lamp</t>
        </is>
      </c>
      <c r="G692" t="inlineStr">
        <is>
          <t>Standard Class</t>
        </is>
      </c>
      <c r="H692" t="n">
        <v>8</v>
      </c>
      <c r="I692" s="11" t="n">
        <v>230.54</v>
      </c>
      <c r="J692" s="12" t="n">
        <v>0.1</v>
      </c>
      <c r="K692" s="11" t="n">
        <v>1659.89</v>
      </c>
      <c r="L692" s="11" t="n">
        <v>435.28</v>
      </c>
      <c r="M692" s="12" t="n">
        <v>0.2622</v>
      </c>
    </row>
    <row r="693">
      <c r="A693" t="inlineStr">
        <is>
          <t>ORD-11338</t>
        </is>
      </c>
      <c r="B693" s="10" t="inlineStr">
        <is>
          <t>2024-08-29</t>
        </is>
      </c>
      <c r="C693" t="inlineStr">
        <is>
          <t>Customer 20</t>
        </is>
      </c>
      <c r="D693" t="inlineStr">
        <is>
          <t>South</t>
        </is>
      </c>
      <c r="E693" t="inlineStr">
        <is>
          <t>Furniture</t>
        </is>
      </c>
      <c r="F693" t="inlineStr">
        <is>
          <t>Table Lamp</t>
        </is>
      </c>
      <c r="G693" t="inlineStr">
        <is>
          <t>Second Class</t>
        </is>
      </c>
      <c r="H693" t="n">
        <v>2</v>
      </c>
      <c r="I693" s="11" t="n">
        <v>894.49</v>
      </c>
      <c r="J693" s="12" t="n">
        <v>0</v>
      </c>
      <c r="K693" s="11" t="n">
        <v>1788.98</v>
      </c>
      <c r="L693" s="11" t="n">
        <v>523.42</v>
      </c>
      <c r="M693" s="12" t="n">
        <v>0.2926</v>
      </c>
    </row>
    <row r="694">
      <c r="A694" t="inlineStr">
        <is>
          <t>ORD-11467</t>
        </is>
      </c>
      <c r="B694" s="10" t="inlineStr">
        <is>
          <t>2024-08-29</t>
        </is>
      </c>
      <c r="C694" t="inlineStr">
        <is>
          <t>Customer 183</t>
        </is>
      </c>
      <c r="D694" t="inlineStr">
        <is>
          <t>South</t>
        </is>
      </c>
      <c r="E694" t="inlineStr">
        <is>
          <t>Technology</t>
        </is>
      </c>
      <c r="F694" t="inlineStr">
        <is>
          <t>Wireless Mouse</t>
        </is>
      </c>
      <c r="G694" t="inlineStr">
        <is>
          <t>Second Class</t>
        </is>
      </c>
      <c r="H694" t="n">
        <v>9</v>
      </c>
      <c r="I694" s="11" t="n">
        <v>1162.59</v>
      </c>
      <c r="J694" s="12" t="n">
        <v>0</v>
      </c>
      <c r="K694" s="11" t="n">
        <v>10463.31</v>
      </c>
      <c r="L694" s="11" t="n">
        <v>4053.59</v>
      </c>
      <c r="M694" s="12" t="n">
        <v>0.3874</v>
      </c>
    </row>
    <row r="695">
      <c r="A695" t="inlineStr">
        <is>
          <t>ORD-10839</t>
        </is>
      </c>
      <c r="B695" s="10" t="inlineStr">
        <is>
          <t>2024-08-29</t>
        </is>
      </c>
      <c r="C695" t="inlineStr">
        <is>
          <t>Customer 143</t>
        </is>
      </c>
      <c r="D695" t="inlineStr">
        <is>
          <t>South</t>
        </is>
      </c>
      <c r="E695" t="inlineStr">
        <is>
          <t>Technology</t>
        </is>
      </c>
      <c r="F695" t="inlineStr">
        <is>
          <t>Wireless Mouse</t>
        </is>
      </c>
      <c r="G695" t="inlineStr">
        <is>
          <t>First Class</t>
        </is>
      </c>
      <c r="H695" t="n">
        <v>8</v>
      </c>
      <c r="I695" s="11" t="n">
        <v>548.48</v>
      </c>
      <c r="J695" s="12" t="n">
        <v>0</v>
      </c>
      <c r="K695" s="11" t="n">
        <v>4387.84</v>
      </c>
      <c r="L695" s="11" t="n">
        <v>2095.1</v>
      </c>
      <c r="M695" s="12" t="n">
        <v>0.4775</v>
      </c>
    </row>
    <row r="696">
      <c r="A696" t="inlineStr">
        <is>
          <t>ORD-11503</t>
        </is>
      </c>
      <c r="B696" s="10" t="inlineStr">
        <is>
          <t>2024-08-29</t>
        </is>
      </c>
      <c r="C696" t="inlineStr">
        <is>
          <t>Customer 120</t>
        </is>
      </c>
      <c r="D696" t="inlineStr">
        <is>
          <t>North</t>
        </is>
      </c>
      <c r="E696" t="inlineStr">
        <is>
          <t>Office Supplies</t>
        </is>
      </c>
      <c r="F696" t="inlineStr">
        <is>
          <t>Stapler</t>
        </is>
      </c>
      <c r="G696" t="inlineStr">
        <is>
          <t>Standard Class</t>
        </is>
      </c>
      <c r="H696" t="n">
        <v>1</v>
      </c>
      <c r="I696" s="11" t="n">
        <v>511.12</v>
      </c>
      <c r="J696" s="12" t="n">
        <v>0</v>
      </c>
      <c r="K696" s="11" t="n">
        <v>511.12</v>
      </c>
      <c r="L696" s="11" t="n">
        <v>114.92</v>
      </c>
      <c r="M696" s="12" t="n">
        <v>0.2248</v>
      </c>
    </row>
    <row r="697">
      <c r="A697" t="inlineStr">
        <is>
          <t>ORD-11010</t>
        </is>
      </c>
      <c r="B697" s="10" t="inlineStr">
        <is>
          <t>2024-08-30</t>
        </is>
      </c>
      <c r="C697" t="inlineStr">
        <is>
          <t>Customer 13</t>
        </is>
      </c>
      <c r="D697" t="inlineStr">
        <is>
          <t>East</t>
        </is>
      </c>
      <c r="E697" t="inlineStr">
        <is>
          <t>Furniture</t>
        </is>
      </c>
      <c r="F697" t="inlineStr">
        <is>
          <t>Desk</t>
        </is>
      </c>
      <c r="G697" t="inlineStr">
        <is>
          <t>Second Class</t>
        </is>
      </c>
      <c r="H697" t="n">
        <v>5</v>
      </c>
      <c r="I697" s="11" t="n">
        <v>1060.82</v>
      </c>
      <c r="J697" s="12" t="n">
        <v>0</v>
      </c>
      <c r="K697" s="11" t="n">
        <v>5304.1</v>
      </c>
      <c r="L697" s="11" t="n">
        <v>1074.85</v>
      </c>
      <c r="M697" s="12" t="n">
        <v>0.2026</v>
      </c>
    </row>
    <row r="698">
      <c r="A698" t="inlineStr">
        <is>
          <t>ORD-10979</t>
        </is>
      </c>
      <c r="B698" s="10" t="inlineStr">
        <is>
          <t>2024-08-30</t>
        </is>
      </c>
      <c r="C698" t="inlineStr">
        <is>
          <t>Customer 174</t>
        </is>
      </c>
      <c r="D698" t="inlineStr">
        <is>
          <t>East</t>
        </is>
      </c>
      <c r="E698" t="inlineStr">
        <is>
          <t>Office Supplies</t>
        </is>
      </c>
      <c r="F698" t="inlineStr">
        <is>
          <t>Pens (Box)</t>
        </is>
      </c>
      <c r="G698" t="inlineStr">
        <is>
          <t>First Class</t>
        </is>
      </c>
      <c r="H698" t="n">
        <v>6</v>
      </c>
      <c r="I698" s="11" t="n">
        <v>856.88</v>
      </c>
      <c r="J698" s="12" t="n">
        <v>0</v>
      </c>
      <c r="K698" s="11" t="n">
        <v>5141.28</v>
      </c>
      <c r="L698" s="11" t="n">
        <v>1241.13</v>
      </c>
      <c r="M698" s="12" t="n">
        <v>0.2414</v>
      </c>
    </row>
    <row r="699">
      <c r="A699" t="inlineStr">
        <is>
          <t>ORD-10884</t>
        </is>
      </c>
      <c r="B699" s="10" t="inlineStr">
        <is>
          <t>2024-08-30</t>
        </is>
      </c>
      <c r="C699" t="inlineStr">
        <is>
          <t>Customer 70</t>
        </is>
      </c>
      <c r="D699" t="inlineStr">
        <is>
          <t>South</t>
        </is>
      </c>
      <c r="E699" t="inlineStr">
        <is>
          <t>Furniture</t>
        </is>
      </c>
      <c r="F699" t="inlineStr">
        <is>
          <t>Desk</t>
        </is>
      </c>
      <c r="G699" t="inlineStr">
        <is>
          <t>Same Day</t>
        </is>
      </c>
      <c r="H699" t="n">
        <v>11</v>
      </c>
      <c r="I699" s="11" t="n">
        <v>328.53</v>
      </c>
      <c r="J699" s="12" t="n">
        <v>0</v>
      </c>
      <c r="K699" s="11" t="n">
        <v>3613.83</v>
      </c>
      <c r="L699" s="11" t="n">
        <v>1222.21</v>
      </c>
      <c r="M699" s="12" t="n">
        <v>0.3382</v>
      </c>
    </row>
    <row r="700">
      <c r="A700" t="inlineStr">
        <is>
          <t>ORD-11675</t>
        </is>
      </c>
      <c r="B700" s="10" t="inlineStr">
        <is>
          <t>2024-08-30</t>
        </is>
      </c>
      <c r="C700" t="inlineStr">
        <is>
          <t>Customer 10</t>
        </is>
      </c>
      <c r="D700" t="inlineStr">
        <is>
          <t>North</t>
        </is>
      </c>
      <c r="E700" t="inlineStr">
        <is>
          <t>Furniture</t>
        </is>
      </c>
      <c r="F700" t="inlineStr">
        <is>
          <t>Desk</t>
        </is>
      </c>
      <c r="G700" t="inlineStr">
        <is>
          <t>Second Class</t>
        </is>
      </c>
      <c r="H700" t="n">
        <v>2</v>
      </c>
      <c r="I700" s="11" t="n">
        <v>171.75</v>
      </c>
      <c r="J700" s="12" t="n">
        <v>0.1</v>
      </c>
      <c r="K700" s="11" t="n">
        <v>309.15</v>
      </c>
      <c r="L700" s="11" t="n">
        <v>110.75</v>
      </c>
      <c r="M700" s="12" t="n">
        <v>0.3582</v>
      </c>
    </row>
    <row r="701">
      <c r="A701" t="inlineStr">
        <is>
          <t>ORD-10549</t>
        </is>
      </c>
      <c r="B701" s="10" t="inlineStr">
        <is>
          <t>2024-08-31</t>
        </is>
      </c>
      <c r="C701" t="inlineStr">
        <is>
          <t>Customer 173</t>
        </is>
      </c>
      <c r="D701" t="inlineStr">
        <is>
          <t>West</t>
        </is>
      </c>
      <c r="E701" t="inlineStr">
        <is>
          <t>Office Supplies</t>
        </is>
      </c>
      <c r="F701" t="inlineStr">
        <is>
          <t>Paper</t>
        </is>
      </c>
      <c r="G701" t="inlineStr">
        <is>
          <t>Same Day</t>
        </is>
      </c>
      <c r="H701" t="n">
        <v>8</v>
      </c>
      <c r="I701" s="11" t="n">
        <v>292.37</v>
      </c>
      <c r="J701" s="12" t="n">
        <v>0</v>
      </c>
      <c r="K701" s="11" t="n">
        <v>2338.96</v>
      </c>
      <c r="L701" s="11" t="n">
        <v>996.5700000000001</v>
      </c>
      <c r="M701" s="12" t="n">
        <v>0.4261</v>
      </c>
    </row>
    <row r="702">
      <c r="A702" t="inlineStr">
        <is>
          <t>ORD-10042</t>
        </is>
      </c>
      <c r="B702" s="10" t="inlineStr">
        <is>
          <t>2024-08-31</t>
        </is>
      </c>
      <c r="C702" t="inlineStr">
        <is>
          <t>Customer 5</t>
        </is>
      </c>
      <c r="D702" t="inlineStr">
        <is>
          <t>South</t>
        </is>
      </c>
      <c r="E702" t="inlineStr">
        <is>
          <t>Furniture</t>
        </is>
      </c>
      <c r="F702" t="inlineStr">
        <is>
          <t>Bookcase</t>
        </is>
      </c>
      <c r="G702" t="inlineStr">
        <is>
          <t>Second Class</t>
        </is>
      </c>
      <c r="H702" t="n">
        <v>9</v>
      </c>
      <c r="I702" s="11" t="n">
        <v>1078.55</v>
      </c>
      <c r="J702" s="12" t="n">
        <v>0.1</v>
      </c>
      <c r="K702" s="11" t="n">
        <v>8736.25</v>
      </c>
      <c r="L702" s="11" t="n">
        <v>2963.65</v>
      </c>
      <c r="M702" s="12" t="n">
        <v>0.3392</v>
      </c>
    </row>
    <row r="703">
      <c r="A703" t="inlineStr">
        <is>
          <t>ORD-10101</t>
        </is>
      </c>
      <c r="B703" s="10" t="inlineStr">
        <is>
          <t>2024-08-31</t>
        </is>
      </c>
      <c r="C703" t="inlineStr">
        <is>
          <t>Customer 54</t>
        </is>
      </c>
      <c r="D703" t="inlineStr">
        <is>
          <t>South</t>
        </is>
      </c>
      <c r="E703" t="inlineStr">
        <is>
          <t>Furniture</t>
        </is>
      </c>
      <c r="F703" t="inlineStr">
        <is>
          <t>Chair</t>
        </is>
      </c>
      <c r="G703" t="inlineStr">
        <is>
          <t>First Class</t>
        </is>
      </c>
      <c r="H703" t="n">
        <v>4</v>
      </c>
      <c r="I703" s="11" t="n">
        <v>294.77</v>
      </c>
      <c r="J703" s="12" t="n">
        <v>0</v>
      </c>
      <c r="K703" s="11" t="n">
        <v>1179.08</v>
      </c>
      <c r="L703" s="11" t="n">
        <v>307.57</v>
      </c>
      <c r="M703" s="12" t="n">
        <v>0.2609</v>
      </c>
    </row>
    <row r="704">
      <c r="A704" t="inlineStr">
        <is>
          <t>ORD-10067</t>
        </is>
      </c>
      <c r="B704" s="10" t="inlineStr">
        <is>
          <t>2024-08-31</t>
        </is>
      </c>
      <c r="C704" t="inlineStr">
        <is>
          <t>Customer 199</t>
        </is>
      </c>
      <c r="D704" t="inlineStr">
        <is>
          <t>South</t>
        </is>
      </c>
      <c r="E704" t="inlineStr">
        <is>
          <t>Furniture</t>
        </is>
      </c>
      <c r="F704" t="inlineStr">
        <is>
          <t>Table Lamp</t>
        </is>
      </c>
      <c r="G704" t="inlineStr">
        <is>
          <t>First Class</t>
        </is>
      </c>
      <c r="H704" t="n">
        <v>8</v>
      </c>
      <c r="I704" s="11" t="n">
        <v>847.96</v>
      </c>
      <c r="J704" s="12" t="n">
        <v>0</v>
      </c>
      <c r="K704" s="11" t="n">
        <v>6783.68</v>
      </c>
      <c r="L704" s="11" t="n">
        <v>1870.19</v>
      </c>
      <c r="M704" s="12" t="n">
        <v>0.2757</v>
      </c>
    </row>
    <row r="705">
      <c r="A705" t="inlineStr">
        <is>
          <t>ORD-11117</t>
        </is>
      </c>
      <c r="B705" s="10" t="inlineStr">
        <is>
          <t>2024-08-31</t>
        </is>
      </c>
      <c r="C705" t="inlineStr">
        <is>
          <t>Customer 197</t>
        </is>
      </c>
      <c r="D705" t="inlineStr">
        <is>
          <t>South</t>
        </is>
      </c>
      <c r="E705" t="inlineStr">
        <is>
          <t>Technology</t>
        </is>
      </c>
      <c r="F705" t="inlineStr">
        <is>
          <t>Wireless Mouse</t>
        </is>
      </c>
      <c r="G705" t="inlineStr">
        <is>
          <t>First Class</t>
        </is>
      </c>
      <c r="H705" t="n">
        <v>5</v>
      </c>
      <c r="I705" s="11" t="n">
        <v>851.5599999999999</v>
      </c>
      <c r="J705" s="12" t="n">
        <v>0</v>
      </c>
      <c r="K705" s="11" t="n">
        <v>4257.8</v>
      </c>
      <c r="L705" s="11" t="n">
        <v>1717.4</v>
      </c>
      <c r="M705" s="12" t="n">
        <v>0.4034</v>
      </c>
    </row>
    <row r="706">
      <c r="A706" t="inlineStr">
        <is>
          <t>ORD-11248</t>
        </is>
      </c>
      <c r="B706" s="10" t="inlineStr">
        <is>
          <t>2024-09-01</t>
        </is>
      </c>
      <c r="C706" t="inlineStr">
        <is>
          <t>Customer 184</t>
        </is>
      </c>
      <c r="D706" t="inlineStr">
        <is>
          <t>East</t>
        </is>
      </c>
      <c r="E706" t="inlineStr">
        <is>
          <t>Office Supplies</t>
        </is>
      </c>
      <c r="F706" t="inlineStr">
        <is>
          <t>Binder</t>
        </is>
      </c>
      <c r="G706" t="inlineStr">
        <is>
          <t>Same Day</t>
        </is>
      </c>
      <c r="H706" t="n">
        <v>8</v>
      </c>
      <c r="I706" s="11" t="n">
        <v>766.6900000000001</v>
      </c>
      <c r="J706" s="12" t="n">
        <v>0.3</v>
      </c>
      <c r="K706" s="11" t="n">
        <v>4293.46</v>
      </c>
      <c r="L706" s="11" t="n">
        <v>306.54</v>
      </c>
      <c r="M706" s="12" t="n">
        <v>0.07140000000000001</v>
      </c>
    </row>
    <row r="707">
      <c r="A707" t="inlineStr">
        <is>
          <t>ORD-11610</t>
        </is>
      </c>
      <c r="B707" s="10" t="inlineStr">
        <is>
          <t>2024-09-02</t>
        </is>
      </c>
      <c r="C707" t="inlineStr">
        <is>
          <t>Customer 189</t>
        </is>
      </c>
      <c r="D707" t="inlineStr">
        <is>
          <t>North</t>
        </is>
      </c>
      <c r="E707" t="inlineStr">
        <is>
          <t>Furniture</t>
        </is>
      </c>
      <c r="F707" t="inlineStr">
        <is>
          <t>Table Lamp</t>
        </is>
      </c>
      <c r="G707" t="inlineStr">
        <is>
          <t>First Class</t>
        </is>
      </c>
      <c r="H707" t="n">
        <v>5</v>
      </c>
      <c r="I707" s="11" t="n">
        <v>624.72</v>
      </c>
      <c r="J707" s="12" t="n">
        <v>0.15</v>
      </c>
      <c r="K707" s="11" t="n">
        <v>2655.06</v>
      </c>
      <c r="L707" s="11" t="n">
        <v>883.3099999999999</v>
      </c>
      <c r="M707" s="12" t="n">
        <v>0.3327</v>
      </c>
    </row>
    <row r="708">
      <c r="A708" t="inlineStr">
        <is>
          <t>ORD-11040</t>
        </is>
      </c>
      <c r="B708" s="10" t="inlineStr">
        <is>
          <t>2024-09-02</t>
        </is>
      </c>
      <c r="C708" t="inlineStr">
        <is>
          <t>Customer 98</t>
        </is>
      </c>
      <c r="D708" t="inlineStr">
        <is>
          <t>East</t>
        </is>
      </c>
      <c r="E708" t="inlineStr">
        <is>
          <t>Furniture</t>
        </is>
      </c>
      <c r="F708" t="inlineStr">
        <is>
          <t>Chair</t>
        </is>
      </c>
      <c r="G708" t="inlineStr">
        <is>
          <t>Standard Class</t>
        </is>
      </c>
      <c r="H708" t="n">
        <v>1</v>
      </c>
      <c r="I708" s="11" t="n">
        <v>283.88</v>
      </c>
      <c r="J708" s="12" t="n">
        <v>0</v>
      </c>
      <c r="K708" s="11" t="n">
        <v>283.88</v>
      </c>
      <c r="L708" s="11" t="n">
        <v>120.58</v>
      </c>
      <c r="M708" s="12" t="n">
        <v>0.4248</v>
      </c>
    </row>
    <row r="709">
      <c r="A709" t="inlineStr">
        <is>
          <t>ORD-11397</t>
        </is>
      </c>
      <c r="B709" s="10" t="inlineStr">
        <is>
          <t>2024-09-02</t>
        </is>
      </c>
      <c r="C709" t="inlineStr">
        <is>
          <t>Customer 88</t>
        </is>
      </c>
      <c r="D709" t="inlineStr">
        <is>
          <t>South</t>
        </is>
      </c>
      <c r="E709" t="inlineStr">
        <is>
          <t>Office Supplies</t>
        </is>
      </c>
      <c r="F709" t="inlineStr">
        <is>
          <t>Pens (Box)</t>
        </is>
      </c>
      <c r="G709" t="inlineStr">
        <is>
          <t>Second Class</t>
        </is>
      </c>
      <c r="H709" t="n">
        <v>11</v>
      </c>
      <c r="I709" s="11" t="n">
        <v>587.67</v>
      </c>
      <c r="J709" s="12" t="n">
        <v>0</v>
      </c>
      <c r="K709" s="11" t="n">
        <v>6464.37</v>
      </c>
      <c r="L709" s="11" t="n">
        <v>1482.35</v>
      </c>
      <c r="M709" s="12" t="n">
        <v>0.2293</v>
      </c>
    </row>
    <row r="710">
      <c r="A710" t="inlineStr">
        <is>
          <t>ORD-11429</t>
        </is>
      </c>
      <c r="B710" s="10" t="inlineStr">
        <is>
          <t>2024-09-02</t>
        </is>
      </c>
      <c r="C710" t="inlineStr">
        <is>
          <t>Customer 78</t>
        </is>
      </c>
      <c r="D710" t="inlineStr">
        <is>
          <t>North</t>
        </is>
      </c>
      <c r="E710" t="inlineStr">
        <is>
          <t>Technology</t>
        </is>
      </c>
      <c r="F710" t="inlineStr">
        <is>
          <t>Monitor</t>
        </is>
      </c>
      <c r="G710" t="inlineStr">
        <is>
          <t>Standard Class</t>
        </is>
      </c>
      <c r="H710" t="n">
        <v>11</v>
      </c>
      <c r="I710" s="11" t="n">
        <v>576.6</v>
      </c>
      <c r="J710" s="12" t="n">
        <v>0</v>
      </c>
      <c r="K710" s="11" t="n">
        <v>6342.6</v>
      </c>
      <c r="L710" s="11" t="n">
        <v>1202.95</v>
      </c>
      <c r="M710" s="12" t="n">
        <v>0.1897</v>
      </c>
    </row>
    <row r="711">
      <c r="A711" t="inlineStr">
        <is>
          <t>ORD-11483</t>
        </is>
      </c>
      <c r="B711" s="10" t="inlineStr">
        <is>
          <t>2024-09-02</t>
        </is>
      </c>
      <c r="C711" t="inlineStr">
        <is>
          <t>Customer 27</t>
        </is>
      </c>
      <c r="D711" t="inlineStr">
        <is>
          <t>South</t>
        </is>
      </c>
      <c r="E711" t="inlineStr">
        <is>
          <t>Furniture</t>
        </is>
      </c>
      <c r="F711" t="inlineStr">
        <is>
          <t>Chair</t>
        </is>
      </c>
      <c r="G711" t="inlineStr">
        <is>
          <t>Standard Class</t>
        </is>
      </c>
      <c r="H711" t="n">
        <v>6</v>
      </c>
      <c r="I711" s="11" t="n">
        <v>581.595</v>
      </c>
      <c r="J711" s="12" t="n">
        <v>0</v>
      </c>
      <c r="K711" s="11" t="n">
        <v>709.76</v>
      </c>
      <c r="L711" s="11" t="n">
        <v>587.3</v>
      </c>
      <c r="M711" s="12" t="n">
        <v>0.8275</v>
      </c>
    </row>
    <row r="712">
      <c r="A712" t="inlineStr">
        <is>
          <t>ORD-10311</t>
        </is>
      </c>
      <c r="B712" s="10" t="inlineStr">
        <is>
          <t>2024-09-02</t>
        </is>
      </c>
      <c r="C712" t="inlineStr">
        <is>
          <t>Customer 99</t>
        </is>
      </c>
      <c r="D712" t="inlineStr">
        <is>
          <t>East</t>
        </is>
      </c>
      <c r="E712" t="inlineStr">
        <is>
          <t>Office Supplies</t>
        </is>
      </c>
      <c r="F712" t="inlineStr">
        <is>
          <t>Stapler</t>
        </is>
      </c>
      <c r="G712" t="inlineStr">
        <is>
          <t>Same Day</t>
        </is>
      </c>
      <c r="H712" t="n">
        <v>3</v>
      </c>
      <c r="I712" s="11" t="n">
        <v>52.27</v>
      </c>
      <c r="J712" s="12" t="n">
        <v>0</v>
      </c>
      <c r="K712" s="11" t="n">
        <v>156.81</v>
      </c>
      <c r="L712" s="11" t="n">
        <v>65.22</v>
      </c>
      <c r="M712" s="12" t="n">
        <v>0.4159</v>
      </c>
    </row>
    <row r="713">
      <c r="A713" t="inlineStr">
        <is>
          <t>ORD-10440</t>
        </is>
      </c>
      <c r="B713" s="10" t="inlineStr">
        <is>
          <t>2024-09-02</t>
        </is>
      </c>
      <c r="C713" t="inlineStr">
        <is>
          <t>Customer 156</t>
        </is>
      </c>
      <c r="D713" t="inlineStr">
        <is>
          <t>East</t>
        </is>
      </c>
      <c r="E713" t="inlineStr">
        <is>
          <t>Office Supplies</t>
        </is>
      </c>
      <c r="F713" t="inlineStr">
        <is>
          <t>Stapler</t>
        </is>
      </c>
      <c r="G713" t="inlineStr">
        <is>
          <t>Same Day</t>
        </is>
      </c>
      <c r="H713" t="n">
        <v>3</v>
      </c>
      <c r="I713" s="11" t="n">
        <v>192.65</v>
      </c>
      <c r="J713" s="12" t="n">
        <v>0</v>
      </c>
      <c r="K713" s="11" t="n">
        <v>577.95</v>
      </c>
      <c r="L713" s="11" t="n">
        <v>238.82</v>
      </c>
      <c r="M713" s="12" t="n">
        <v>0.4132</v>
      </c>
    </row>
    <row r="714">
      <c r="A714" t="inlineStr">
        <is>
          <t>ORD-10033</t>
        </is>
      </c>
      <c r="B714" s="10" t="inlineStr">
        <is>
          <t>2024-09-03</t>
        </is>
      </c>
      <c r="C714" t="inlineStr">
        <is>
          <t>Customer 140</t>
        </is>
      </c>
      <c r="D714" t="inlineStr">
        <is>
          <t>South</t>
        </is>
      </c>
      <c r="E714" t="inlineStr">
        <is>
          <t>Furniture</t>
        </is>
      </c>
      <c r="F714" t="inlineStr">
        <is>
          <t>Chair</t>
        </is>
      </c>
      <c r="G714" t="inlineStr">
        <is>
          <t>First Class</t>
        </is>
      </c>
      <c r="H714" t="n">
        <v>2</v>
      </c>
      <c r="I714" s="11" t="n">
        <v>576.0599999999999</v>
      </c>
      <c r="J714" s="12" t="n">
        <v>0</v>
      </c>
      <c r="K714" s="11" t="n">
        <v>1152.12</v>
      </c>
      <c r="L714" s="11" t="n">
        <v>482.28</v>
      </c>
      <c r="M714" s="12" t="n">
        <v>0.4186</v>
      </c>
    </row>
    <row r="715">
      <c r="A715" t="inlineStr">
        <is>
          <t>ORD-10121</t>
        </is>
      </c>
      <c r="B715" s="10" t="inlineStr">
        <is>
          <t>2024-09-03</t>
        </is>
      </c>
      <c r="C715" t="inlineStr">
        <is>
          <t>Customer 124</t>
        </is>
      </c>
      <c r="D715" t="inlineStr">
        <is>
          <t>South</t>
        </is>
      </c>
      <c r="E715" t="inlineStr">
        <is>
          <t>Technology</t>
        </is>
      </c>
      <c r="F715" t="inlineStr">
        <is>
          <t>Laptop</t>
        </is>
      </c>
      <c r="G715" t="inlineStr">
        <is>
          <t>Second Class</t>
        </is>
      </c>
      <c r="H715" t="n">
        <v>7</v>
      </c>
      <c r="I715" s="11" t="n">
        <v>1122.78</v>
      </c>
      <c r="J715" s="12" t="n">
        <v>0</v>
      </c>
      <c r="K715" s="11" t="n">
        <v>7859.46</v>
      </c>
      <c r="L715" s="11" t="n">
        <v>3388.53</v>
      </c>
      <c r="M715" s="12" t="n">
        <v>0.4311</v>
      </c>
    </row>
    <row r="716">
      <c r="A716" t="inlineStr">
        <is>
          <t>ORD-11230</t>
        </is>
      </c>
      <c r="B716" s="10" t="inlineStr">
        <is>
          <t>2024-09-04</t>
        </is>
      </c>
      <c r="C716" t="inlineStr">
        <is>
          <t>Customer 144</t>
        </is>
      </c>
      <c r="D716" t="inlineStr">
        <is>
          <t>South</t>
        </is>
      </c>
      <c r="E716" t="inlineStr">
        <is>
          <t>Furniture</t>
        </is>
      </c>
      <c r="F716" t="inlineStr">
        <is>
          <t>Chair</t>
        </is>
      </c>
      <c r="G716" t="inlineStr">
        <is>
          <t>Standard Class</t>
        </is>
      </c>
      <c r="H716" t="n">
        <v>2</v>
      </c>
      <c r="I716" s="11" t="n">
        <v>82.79000000000001</v>
      </c>
      <c r="J716" s="12" t="n">
        <v>0</v>
      </c>
      <c r="K716" s="11" t="n">
        <v>165.58</v>
      </c>
      <c r="L716" s="11" t="n">
        <v>25.4</v>
      </c>
      <c r="M716" s="12" t="n">
        <v>0.1534</v>
      </c>
    </row>
    <row r="717">
      <c r="A717" t="inlineStr">
        <is>
          <t>ORD-11865</t>
        </is>
      </c>
      <c r="B717" s="10" t="inlineStr">
        <is>
          <t>2024-09-04</t>
        </is>
      </c>
      <c r="C717" t="inlineStr">
        <is>
          <t>Customer 56</t>
        </is>
      </c>
      <c r="D717" t="inlineStr">
        <is>
          <t>North</t>
        </is>
      </c>
      <c r="E717" t="inlineStr">
        <is>
          <t>Technology</t>
        </is>
      </c>
      <c r="F717" t="inlineStr">
        <is>
          <t>Monitor</t>
        </is>
      </c>
      <c r="G717" t="inlineStr">
        <is>
          <t>Standard Class</t>
        </is>
      </c>
      <c r="H717" t="n">
        <v>4</v>
      </c>
      <c r="I717" s="11" t="n">
        <v>1182.72</v>
      </c>
      <c r="J717" s="12" t="n">
        <v>0.1</v>
      </c>
      <c r="K717" s="11" t="n">
        <v>4257.79</v>
      </c>
      <c r="L717" s="11" t="n">
        <v>697.92</v>
      </c>
      <c r="M717" s="12" t="n">
        <v>0.1639</v>
      </c>
    </row>
    <row r="718">
      <c r="A718" t="inlineStr">
        <is>
          <t>ORD-11671</t>
        </is>
      </c>
      <c r="B718" s="10" t="inlineStr">
        <is>
          <t>2024-09-04</t>
        </is>
      </c>
      <c r="C718" t="inlineStr">
        <is>
          <t>Customer 197</t>
        </is>
      </c>
      <c r="D718" t="inlineStr">
        <is>
          <t>South</t>
        </is>
      </c>
      <c r="E718" t="inlineStr">
        <is>
          <t>Office Supplies</t>
        </is>
      </c>
      <c r="F718" t="inlineStr">
        <is>
          <t>Paper</t>
        </is>
      </c>
      <c r="G718" t="inlineStr">
        <is>
          <t>Same Day</t>
        </is>
      </c>
      <c r="H718" t="n">
        <v>11</v>
      </c>
      <c r="I718" s="11" t="n">
        <v>668.29</v>
      </c>
      <c r="J718" s="12" t="n">
        <v>0</v>
      </c>
      <c r="K718" s="11" t="n">
        <v>7351.19</v>
      </c>
      <c r="L718" s="11" t="n">
        <v>1134.48</v>
      </c>
      <c r="M718" s="12" t="n">
        <v>0.1543</v>
      </c>
    </row>
    <row r="719">
      <c r="A719" t="inlineStr">
        <is>
          <t>ORD-11876</t>
        </is>
      </c>
      <c r="B719" s="10" t="inlineStr">
        <is>
          <t>2024-09-04</t>
        </is>
      </c>
      <c r="C719" t="inlineStr">
        <is>
          <t>Customer 72</t>
        </is>
      </c>
      <c r="D719" t="inlineStr">
        <is>
          <t>North</t>
        </is>
      </c>
      <c r="E719" t="inlineStr">
        <is>
          <t>Furniture</t>
        </is>
      </c>
      <c r="F719" t="inlineStr">
        <is>
          <t>Table Lamp</t>
        </is>
      </c>
      <c r="G719" t="inlineStr">
        <is>
          <t>First Class</t>
        </is>
      </c>
      <c r="H719" t="n">
        <v>8</v>
      </c>
      <c r="I719" s="11" t="n">
        <v>833.74</v>
      </c>
      <c r="J719" s="12" t="n">
        <v>0.1</v>
      </c>
      <c r="K719" s="11" t="n">
        <v>6002.93</v>
      </c>
      <c r="L719" s="11" t="n">
        <v>2151.7</v>
      </c>
      <c r="M719" s="12" t="n">
        <v>0.3584</v>
      </c>
    </row>
    <row r="720">
      <c r="A720" t="inlineStr">
        <is>
          <t>ORD-11522</t>
        </is>
      </c>
      <c r="B720" s="10" t="inlineStr">
        <is>
          <t>2024-09-04</t>
        </is>
      </c>
      <c r="C720" t="inlineStr">
        <is>
          <t>Customer 177</t>
        </is>
      </c>
      <c r="D720" t="inlineStr">
        <is>
          <t>East</t>
        </is>
      </c>
      <c r="E720" t="inlineStr">
        <is>
          <t>Technology</t>
        </is>
      </c>
      <c r="F720" t="inlineStr">
        <is>
          <t>Wireless Mouse</t>
        </is>
      </c>
      <c r="G720" t="inlineStr">
        <is>
          <t>Second Class</t>
        </is>
      </c>
      <c r="H720" t="n">
        <v>8</v>
      </c>
      <c r="I720" s="11" t="n">
        <v>405.16</v>
      </c>
      <c r="J720" s="12" t="n">
        <v>0</v>
      </c>
      <c r="K720" s="11" t="n">
        <v>3241.28</v>
      </c>
      <c r="L720" s="11" t="n">
        <v>1227.33</v>
      </c>
      <c r="M720" s="12" t="n">
        <v>0.3787</v>
      </c>
    </row>
    <row r="721">
      <c r="A721" t="inlineStr">
        <is>
          <t>ORD-11625</t>
        </is>
      </c>
      <c r="B721" s="10" t="inlineStr">
        <is>
          <t>2024-09-05</t>
        </is>
      </c>
      <c r="C721" t="inlineStr">
        <is>
          <t>Customer 24</t>
        </is>
      </c>
      <c r="D721" t="inlineStr">
        <is>
          <t>West</t>
        </is>
      </c>
      <c r="E721" t="inlineStr">
        <is>
          <t>Office Supplies</t>
        </is>
      </c>
      <c r="F721" t="inlineStr">
        <is>
          <t>Paper</t>
        </is>
      </c>
      <c r="G721" t="inlineStr">
        <is>
          <t>First Class</t>
        </is>
      </c>
      <c r="H721" t="n">
        <v>9</v>
      </c>
      <c r="I721" s="11" t="n">
        <v>549.92</v>
      </c>
      <c r="J721" s="12" t="n">
        <v>0</v>
      </c>
      <c r="K721" s="11" t="n">
        <v>4949.28</v>
      </c>
      <c r="L721" s="11" t="n">
        <v>2245.93</v>
      </c>
      <c r="M721" s="12" t="n">
        <v>0.4538</v>
      </c>
    </row>
    <row r="722">
      <c r="A722" t="inlineStr">
        <is>
          <t>ORD-11291</t>
        </is>
      </c>
      <c r="B722" s="10" t="inlineStr">
        <is>
          <t>2024-09-05</t>
        </is>
      </c>
      <c r="C722" t="inlineStr">
        <is>
          <t>Customer 165</t>
        </is>
      </c>
      <c r="D722" t="inlineStr">
        <is>
          <t>South</t>
        </is>
      </c>
      <c r="E722" t="inlineStr">
        <is>
          <t>Office Supplies</t>
        </is>
      </c>
      <c r="F722" t="inlineStr">
        <is>
          <t>Stapler</t>
        </is>
      </c>
      <c r="G722" t="inlineStr">
        <is>
          <t>First Class</t>
        </is>
      </c>
      <c r="H722" t="n">
        <v>11</v>
      </c>
      <c r="I722" s="11" t="n">
        <v>80.79000000000001</v>
      </c>
      <c r="J722" s="12" t="n">
        <v>0.1</v>
      </c>
      <c r="K722" s="11" t="n">
        <v>799.8200000000001</v>
      </c>
      <c r="L722" s="11" t="n">
        <v>135.02</v>
      </c>
      <c r="M722" s="12" t="n">
        <v>0.1688</v>
      </c>
    </row>
    <row r="723">
      <c r="A723" t="inlineStr">
        <is>
          <t>ORD-10253</t>
        </is>
      </c>
      <c r="B723" s="10" t="inlineStr">
        <is>
          <t>2024-09-05</t>
        </is>
      </c>
      <c r="C723" t="inlineStr">
        <is>
          <t>Customer 122</t>
        </is>
      </c>
      <c r="D723" t="inlineStr">
        <is>
          <t>East</t>
        </is>
      </c>
      <c r="E723" t="inlineStr">
        <is>
          <t>Technology</t>
        </is>
      </c>
      <c r="F723" t="inlineStr">
        <is>
          <t>Monitor</t>
        </is>
      </c>
      <c r="G723" t="inlineStr">
        <is>
          <t>Second Class</t>
        </is>
      </c>
      <c r="H723" t="n">
        <v>9</v>
      </c>
      <c r="I723" s="11" t="n">
        <v>298.61</v>
      </c>
      <c r="J723" s="12" t="n">
        <v>0</v>
      </c>
      <c r="K723" s="11" t="n">
        <v>2687.49</v>
      </c>
      <c r="L723" s="11" t="n">
        <v>1318.18</v>
      </c>
      <c r="M723" s="12" t="n">
        <v>0.4905</v>
      </c>
    </row>
    <row r="724">
      <c r="A724" t="inlineStr">
        <is>
          <t>ORD-10523</t>
        </is>
      </c>
      <c r="B724" s="10" t="inlineStr">
        <is>
          <t>2024-09-05</t>
        </is>
      </c>
      <c r="C724" t="inlineStr">
        <is>
          <t>Customer 108</t>
        </is>
      </c>
      <c r="D724" t="inlineStr">
        <is>
          <t>East</t>
        </is>
      </c>
      <c r="E724" t="inlineStr">
        <is>
          <t>Technology</t>
        </is>
      </c>
      <c r="F724" t="inlineStr">
        <is>
          <t>Monitor</t>
        </is>
      </c>
      <c r="G724" t="inlineStr">
        <is>
          <t>Second Class</t>
        </is>
      </c>
      <c r="H724" t="n">
        <v>2</v>
      </c>
      <c r="I724" s="11" t="n">
        <v>980.55</v>
      </c>
      <c r="J724" s="12" t="n">
        <v>0.1</v>
      </c>
      <c r="K724" s="11" t="n">
        <v>1764.99</v>
      </c>
      <c r="L724" s="11" t="n">
        <v>263.95</v>
      </c>
      <c r="M724" s="12" t="n">
        <v>0.1495</v>
      </c>
    </row>
    <row r="725">
      <c r="A725" t="inlineStr">
        <is>
          <t>ORD-11769</t>
        </is>
      </c>
      <c r="B725" s="10" t="inlineStr">
        <is>
          <t>2024-09-06</t>
        </is>
      </c>
      <c r="C725" t="inlineStr">
        <is>
          <t>Customer 192</t>
        </is>
      </c>
      <c r="D725" t="inlineStr">
        <is>
          <t>East</t>
        </is>
      </c>
      <c r="E725" t="inlineStr">
        <is>
          <t>Office Supplies</t>
        </is>
      </c>
      <c r="F725" t="inlineStr">
        <is>
          <t>Pens (Box)</t>
        </is>
      </c>
      <c r="G725" t="inlineStr">
        <is>
          <t>First Class</t>
        </is>
      </c>
      <c r="H725" t="n">
        <v>8</v>
      </c>
      <c r="I725" s="11" t="n">
        <v>502.99</v>
      </c>
      <c r="J725" s="12" t="n">
        <v>0</v>
      </c>
      <c r="K725" s="11" t="n">
        <v>4023.92</v>
      </c>
      <c r="L725" s="11" t="n">
        <v>1475.85</v>
      </c>
      <c r="M725" s="12" t="n">
        <v>0.3668</v>
      </c>
    </row>
    <row r="726">
      <c r="A726" t="inlineStr">
        <is>
          <t>ORD-11215</t>
        </is>
      </c>
      <c r="B726" s="10" t="inlineStr">
        <is>
          <t>2024-09-07</t>
        </is>
      </c>
      <c r="C726" t="inlineStr">
        <is>
          <t>Customer 1</t>
        </is>
      </c>
      <c r="D726" t="inlineStr">
        <is>
          <t>North</t>
        </is>
      </c>
      <c r="E726" t="inlineStr">
        <is>
          <t>Office Supplies</t>
        </is>
      </c>
      <c r="F726" t="inlineStr">
        <is>
          <t>Binder</t>
        </is>
      </c>
      <c r="G726" t="inlineStr">
        <is>
          <t>Second Class</t>
        </is>
      </c>
      <c r="H726" t="n">
        <v>2</v>
      </c>
      <c r="I726" s="11" t="n">
        <v>1037.44</v>
      </c>
      <c r="J726" s="12" t="n">
        <v>0</v>
      </c>
      <c r="K726" s="11" t="n">
        <v>2074.88</v>
      </c>
      <c r="L726" s="11" t="n">
        <v>791.1799999999999</v>
      </c>
      <c r="M726" s="12" t="n">
        <v>0.3813</v>
      </c>
    </row>
    <row r="727">
      <c r="A727" t="inlineStr">
        <is>
          <t>ORD-10061</t>
        </is>
      </c>
      <c r="B727" s="10" t="inlineStr">
        <is>
          <t>2024-09-07</t>
        </is>
      </c>
      <c r="C727" t="inlineStr">
        <is>
          <t>Customer 175</t>
        </is>
      </c>
      <c r="D727" t="inlineStr">
        <is>
          <t>East</t>
        </is>
      </c>
      <c r="E727" t="inlineStr">
        <is>
          <t>Office Supplies</t>
        </is>
      </c>
      <c r="F727" t="inlineStr">
        <is>
          <t>Stapler</t>
        </is>
      </c>
      <c r="G727" t="inlineStr">
        <is>
          <t>Standard Class</t>
        </is>
      </c>
      <c r="H727" t="n">
        <v>8</v>
      </c>
      <c r="I727" s="11" t="n">
        <v>784.66</v>
      </c>
      <c r="J727" s="12" t="n">
        <v>0</v>
      </c>
      <c r="K727" s="11" t="n">
        <v>6277.28</v>
      </c>
      <c r="L727" s="11" t="n">
        <v>1408.61</v>
      </c>
      <c r="M727" s="12" t="n">
        <v>0.2244</v>
      </c>
    </row>
    <row r="728">
      <c r="A728" t="inlineStr">
        <is>
          <t>ORD-11507</t>
        </is>
      </c>
      <c r="B728" s="10" t="inlineStr">
        <is>
          <t>2024-09-07</t>
        </is>
      </c>
      <c r="C728" t="inlineStr">
        <is>
          <t>Customer 62</t>
        </is>
      </c>
      <c r="D728" t="inlineStr">
        <is>
          <t>East</t>
        </is>
      </c>
      <c r="E728" t="inlineStr">
        <is>
          <t>Office Supplies</t>
        </is>
      </c>
      <c r="F728" t="inlineStr">
        <is>
          <t>Paper</t>
        </is>
      </c>
      <c r="G728" t="inlineStr">
        <is>
          <t>Same Day</t>
        </is>
      </c>
      <c r="H728" t="n">
        <v>7</v>
      </c>
      <c r="I728" s="11" t="n">
        <v>607.04</v>
      </c>
      <c r="J728" s="12" t="n">
        <v>0</v>
      </c>
      <c r="K728" s="11" t="n">
        <v>4249.28</v>
      </c>
      <c r="L728" s="11" t="n">
        <v>789.59</v>
      </c>
      <c r="M728" s="12" t="n">
        <v>0.1858</v>
      </c>
    </row>
    <row r="729">
      <c r="A729" t="inlineStr">
        <is>
          <t>ORD-10648</t>
        </is>
      </c>
      <c r="B729" s="10" t="inlineStr">
        <is>
          <t>2024-09-08</t>
        </is>
      </c>
      <c r="C729" t="inlineStr">
        <is>
          <t>Customer 152</t>
        </is>
      </c>
      <c r="D729" t="inlineStr">
        <is>
          <t>South</t>
        </is>
      </c>
      <c r="E729" t="inlineStr">
        <is>
          <t>Technology</t>
        </is>
      </c>
      <c r="F729" t="inlineStr">
        <is>
          <t>Printer</t>
        </is>
      </c>
      <c r="G729" t="inlineStr">
        <is>
          <t>Same Day</t>
        </is>
      </c>
      <c r="H729" t="n">
        <v>2</v>
      </c>
      <c r="I729" s="11" t="n">
        <v>1128.28</v>
      </c>
      <c r="J729" s="12" t="n">
        <v>0</v>
      </c>
      <c r="K729" s="11" t="n">
        <v>2256.56</v>
      </c>
      <c r="L729" s="11" t="n">
        <v>717.3099999999999</v>
      </c>
      <c r="M729" s="12" t="n">
        <v>0.3179</v>
      </c>
    </row>
    <row r="730">
      <c r="A730" t="inlineStr">
        <is>
          <t>ORD-10621</t>
        </is>
      </c>
      <c r="B730" s="10" t="inlineStr">
        <is>
          <t>2024-09-08</t>
        </is>
      </c>
      <c r="C730" t="inlineStr">
        <is>
          <t>Customer 121</t>
        </is>
      </c>
      <c r="D730" t="inlineStr">
        <is>
          <t>South</t>
        </is>
      </c>
      <c r="E730" t="inlineStr">
        <is>
          <t>Office Supplies</t>
        </is>
      </c>
      <c r="F730" t="inlineStr">
        <is>
          <t>Pens (Box)</t>
        </is>
      </c>
      <c r="G730" t="inlineStr">
        <is>
          <t>Standard Class</t>
        </is>
      </c>
      <c r="H730" t="n">
        <v>7</v>
      </c>
      <c r="I730" s="11" t="n">
        <v>515.78</v>
      </c>
      <c r="J730" s="12" t="n">
        <v>0</v>
      </c>
      <c r="K730" s="11" t="n">
        <v>3610.46</v>
      </c>
      <c r="L730" s="11" t="n">
        <v>1161.65</v>
      </c>
      <c r="M730" s="12" t="n">
        <v>0.3217</v>
      </c>
    </row>
    <row r="731">
      <c r="A731" t="inlineStr">
        <is>
          <t>ORD-10298</t>
        </is>
      </c>
      <c r="B731" s="10" t="inlineStr">
        <is>
          <t>2024-09-08</t>
        </is>
      </c>
      <c r="C731" t="inlineStr">
        <is>
          <t>Customer 138</t>
        </is>
      </c>
      <c r="D731" t="inlineStr">
        <is>
          <t>North</t>
        </is>
      </c>
      <c r="E731" t="inlineStr">
        <is>
          <t>Technology</t>
        </is>
      </c>
      <c r="F731" t="inlineStr">
        <is>
          <t>Printer</t>
        </is>
      </c>
      <c r="G731" t="inlineStr">
        <is>
          <t>Same Day</t>
        </is>
      </c>
      <c r="H731" t="n">
        <v>9</v>
      </c>
      <c r="I731" s="11" t="n">
        <v>508.43</v>
      </c>
      <c r="J731" s="12" t="n">
        <v>0</v>
      </c>
      <c r="K731" s="11" t="n">
        <v>4575.87</v>
      </c>
      <c r="L731" s="11" t="n">
        <v>1034.21</v>
      </c>
      <c r="M731" s="12" t="n">
        <v>0.226</v>
      </c>
    </row>
    <row r="732">
      <c r="A732" t="inlineStr">
        <is>
          <t>ORD-10196</t>
        </is>
      </c>
      <c r="B732" s="10" t="inlineStr">
        <is>
          <t>2024-09-08</t>
        </is>
      </c>
      <c r="C732" t="inlineStr">
        <is>
          <t>Customer 15</t>
        </is>
      </c>
      <c r="D732" t="inlineStr">
        <is>
          <t>East</t>
        </is>
      </c>
      <c r="E732" t="inlineStr">
        <is>
          <t>Technology</t>
        </is>
      </c>
      <c r="F732" t="inlineStr">
        <is>
          <t>Laptop</t>
        </is>
      </c>
      <c r="G732" t="inlineStr">
        <is>
          <t>Same Day</t>
        </is>
      </c>
      <c r="H732" t="n">
        <v>6</v>
      </c>
      <c r="I732" s="11" t="n">
        <v>120.69</v>
      </c>
      <c r="J732" s="12" t="n">
        <v>0.2</v>
      </c>
      <c r="K732" s="11" t="n">
        <v>579.3099999999999</v>
      </c>
      <c r="L732" s="11" t="n">
        <v>114.59</v>
      </c>
      <c r="M732" s="12" t="n">
        <v>0.1978</v>
      </c>
    </row>
    <row r="733">
      <c r="A733" t="inlineStr">
        <is>
          <t>ORD-10389</t>
        </is>
      </c>
      <c r="B733" s="10" t="inlineStr">
        <is>
          <t>2024-09-09</t>
        </is>
      </c>
      <c r="C733" t="inlineStr">
        <is>
          <t>Customer 80</t>
        </is>
      </c>
      <c r="D733" t="inlineStr">
        <is>
          <t>East</t>
        </is>
      </c>
      <c r="E733" t="inlineStr">
        <is>
          <t>Furniture</t>
        </is>
      </c>
      <c r="F733" t="inlineStr">
        <is>
          <t>Bookcase</t>
        </is>
      </c>
      <c r="G733" t="inlineStr">
        <is>
          <t>Standard Class</t>
        </is>
      </c>
      <c r="H733" t="n">
        <v>11</v>
      </c>
      <c r="I733" s="11" t="n">
        <v>687.6</v>
      </c>
      <c r="J733" s="12" t="n">
        <v>0</v>
      </c>
      <c r="K733" s="11" t="n">
        <v>7563.6</v>
      </c>
      <c r="L733" s="11" t="n">
        <v>2298.34</v>
      </c>
      <c r="M733" s="12" t="n">
        <v>0.3039</v>
      </c>
    </row>
    <row r="734">
      <c r="A734" t="inlineStr">
        <is>
          <t>ORD-10093</t>
        </is>
      </c>
      <c r="B734" s="10" t="inlineStr">
        <is>
          <t>2024-09-10</t>
        </is>
      </c>
      <c r="C734" t="inlineStr">
        <is>
          <t>Customer 185</t>
        </is>
      </c>
      <c r="D734" t="inlineStr">
        <is>
          <t>South</t>
        </is>
      </c>
      <c r="E734" t="inlineStr">
        <is>
          <t>Technology</t>
        </is>
      </c>
      <c r="F734" t="inlineStr">
        <is>
          <t>Laptop</t>
        </is>
      </c>
      <c r="G734" t="inlineStr">
        <is>
          <t>Standard Class</t>
        </is>
      </c>
      <c r="H734" t="n">
        <v>4</v>
      </c>
      <c r="I734" s="11" t="n">
        <v>293.44</v>
      </c>
      <c r="J734" s="12" t="n">
        <v>0</v>
      </c>
      <c r="K734" s="11" t="n">
        <v>1173.76</v>
      </c>
      <c r="L734" s="11" t="n">
        <v>523.02</v>
      </c>
      <c r="M734" s="12" t="n">
        <v>0.4456</v>
      </c>
    </row>
    <row r="735">
      <c r="A735" t="inlineStr">
        <is>
          <t>ORD-11975</t>
        </is>
      </c>
      <c r="B735" s="10" t="inlineStr">
        <is>
          <t>2024-09-10</t>
        </is>
      </c>
      <c r="C735" t="inlineStr">
        <is>
          <t>Customer 160</t>
        </is>
      </c>
      <c r="D735" t="inlineStr">
        <is>
          <t>West</t>
        </is>
      </c>
      <c r="E735" t="inlineStr">
        <is>
          <t>Technology</t>
        </is>
      </c>
      <c r="F735" t="inlineStr">
        <is>
          <t>Monitor</t>
        </is>
      </c>
      <c r="G735" t="inlineStr">
        <is>
          <t>Second Class</t>
        </is>
      </c>
      <c r="H735" t="n">
        <v>6</v>
      </c>
      <c r="I735" s="11" t="n">
        <v>892.12</v>
      </c>
      <c r="J735" s="12" t="n">
        <v>0.3</v>
      </c>
      <c r="K735" s="11" t="n">
        <v>3746.9</v>
      </c>
      <c r="L735" s="11" t="n">
        <v>553.88</v>
      </c>
      <c r="M735" s="12" t="n">
        <v>0.1478</v>
      </c>
    </row>
    <row r="736">
      <c r="A736" t="inlineStr">
        <is>
          <t>ORD-11976</t>
        </is>
      </c>
      <c r="B736" s="10" t="inlineStr">
        <is>
          <t>2024-09-11</t>
        </is>
      </c>
      <c r="C736" t="inlineStr">
        <is>
          <t>Customer 144</t>
        </is>
      </c>
      <c r="D736" t="inlineStr">
        <is>
          <t>South</t>
        </is>
      </c>
      <c r="E736" t="inlineStr">
        <is>
          <t>Technology</t>
        </is>
      </c>
      <c r="F736" t="inlineStr">
        <is>
          <t>Wireless Mouse</t>
        </is>
      </c>
      <c r="G736" t="inlineStr">
        <is>
          <t>Same Day</t>
        </is>
      </c>
      <c r="H736" t="n">
        <v>10</v>
      </c>
      <c r="I736" s="11" t="n">
        <v>813.7</v>
      </c>
      <c r="J736" s="12" t="n">
        <v>0</v>
      </c>
      <c r="K736" s="11" t="n">
        <v>8137</v>
      </c>
      <c r="L736" s="11" t="n">
        <v>2337.5</v>
      </c>
      <c r="M736" s="12" t="n">
        <v>0.2873</v>
      </c>
    </row>
    <row r="737">
      <c r="A737" t="inlineStr">
        <is>
          <t>ORD-10903</t>
        </is>
      </c>
      <c r="B737" s="10" t="inlineStr">
        <is>
          <t>2024-09-11</t>
        </is>
      </c>
      <c r="C737" t="inlineStr">
        <is>
          <t>Customer 188</t>
        </is>
      </c>
      <c r="D737" t="inlineStr">
        <is>
          <t>South</t>
        </is>
      </c>
      <c r="E737" t="inlineStr">
        <is>
          <t>Furniture</t>
        </is>
      </c>
      <c r="F737" t="inlineStr">
        <is>
          <t>Table Lamp</t>
        </is>
      </c>
      <c r="G737" t="inlineStr">
        <is>
          <t>First Class</t>
        </is>
      </c>
      <c r="H737" t="n">
        <v>8</v>
      </c>
      <c r="I737" s="11" t="n">
        <v>292.58</v>
      </c>
      <c r="J737" s="12" t="n">
        <v>0.1</v>
      </c>
      <c r="K737" s="11" t="n">
        <v>2106.58</v>
      </c>
      <c r="L737" s="11" t="n">
        <v>701.5700000000001</v>
      </c>
      <c r="M737" s="12" t="n">
        <v>0.333</v>
      </c>
    </row>
    <row r="738">
      <c r="A738" t="inlineStr">
        <is>
          <t>ORD-10922</t>
        </is>
      </c>
      <c r="B738" s="10" t="inlineStr">
        <is>
          <t>2024-09-11</t>
        </is>
      </c>
      <c r="C738" t="inlineStr">
        <is>
          <t>Customer 110</t>
        </is>
      </c>
      <c r="D738" t="inlineStr">
        <is>
          <t>East</t>
        </is>
      </c>
      <c r="E738" t="inlineStr">
        <is>
          <t>Furniture</t>
        </is>
      </c>
      <c r="F738" t="inlineStr">
        <is>
          <t>Chair</t>
        </is>
      </c>
      <c r="G738" t="inlineStr">
        <is>
          <t>First Class</t>
        </is>
      </c>
      <c r="H738" t="n">
        <v>10</v>
      </c>
      <c r="I738" s="11" t="n">
        <v>876.4400000000001</v>
      </c>
      <c r="J738" s="12" t="n">
        <v>0</v>
      </c>
      <c r="K738" s="11" t="n">
        <v>8764.4</v>
      </c>
      <c r="L738" s="11" t="n">
        <v>4024.89</v>
      </c>
      <c r="M738" s="12" t="n">
        <v>0.4592</v>
      </c>
    </row>
    <row r="739">
      <c r="A739" t="inlineStr">
        <is>
          <t>ORD-10771</t>
        </is>
      </c>
      <c r="B739" s="10" t="inlineStr">
        <is>
          <t>2024-09-11</t>
        </is>
      </c>
      <c r="C739" t="inlineStr">
        <is>
          <t>Customer 132</t>
        </is>
      </c>
      <c r="D739" t="inlineStr">
        <is>
          <t>East</t>
        </is>
      </c>
      <c r="E739" t="inlineStr">
        <is>
          <t>Technology</t>
        </is>
      </c>
      <c r="F739" t="inlineStr">
        <is>
          <t>Wireless Mouse</t>
        </is>
      </c>
      <c r="G739" t="inlineStr">
        <is>
          <t>Second Class</t>
        </is>
      </c>
      <c r="H739" t="n">
        <v>2</v>
      </c>
      <c r="I739" s="11" t="n">
        <v>349.26</v>
      </c>
      <c r="J739" s="12" t="n">
        <v>0</v>
      </c>
      <c r="K739" s="11" t="n">
        <v>698.52</v>
      </c>
      <c r="L739" s="11" t="n">
        <v>144.71</v>
      </c>
      <c r="M739" s="12" t="n">
        <v>0.2072</v>
      </c>
    </row>
    <row r="740">
      <c r="A740" t="inlineStr">
        <is>
          <t>ORD-11000</t>
        </is>
      </c>
      <c r="B740" s="10" t="inlineStr">
        <is>
          <t>2024-09-11</t>
        </is>
      </c>
      <c r="C740" t="inlineStr">
        <is>
          <t>Customer 102</t>
        </is>
      </c>
      <c r="D740" t="inlineStr">
        <is>
          <t>North</t>
        </is>
      </c>
      <c r="E740" t="inlineStr">
        <is>
          <t>Office Supplies</t>
        </is>
      </c>
      <c r="F740" t="inlineStr">
        <is>
          <t>Pens (Box)</t>
        </is>
      </c>
      <c r="G740" t="inlineStr">
        <is>
          <t>Second Class</t>
        </is>
      </c>
      <c r="H740" t="n">
        <v>9</v>
      </c>
      <c r="I740" s="11" t="n">
        <v>297.06</v>
      </c>
      <c r="J740" s="12" t="n">
        <v>0</v>
      </c>
      <c r="K740" s="11" t="n">
        <v>2673.54</v>
      </c>
      <c r="L740" s="11" t="n">
        <v>1249.42</v>
      </c>
      <c r="M740" s="12" t="n">
        <v>0.4673</v>
      </c>
    </row>
    <row r="741">
      <c r="A741" t="inlineStr">
        <is>
          <t>ORD-11820</t>
        </is>
      </c>
      <c r="B741" s="10" t="inlineStr">
        <is>
          <t>2024-09-11</t>
        </is>
      </c>
      <c r="C741" t="inlineStr">
        <is>
          <t>Customer 165</t>
        </is>
      </c>
      <c r="D741" t="inlineStr">
        <is>
          <t>South</t>
        </is>
      </c>
      <c r="E741" t="inlineStr">
        <is>
          <t>Office Supplies</t>
        </is>
      </c>
      <c r="F741" t="inlineStr">
        <is>
          <t>Paper</t>
        </is>
      </c>
      <c r="G741" t="inlineStr">
        <is>
          <t>Same Day</t>
        </is>
      </c>
      <c r="H741" t="n">
        <v>11</v>
      </c>
      <c r="I741" s="11" t="n">
        <v>473.74</v>
      </c>
      <c r="J741" s="12" t="n">
        <v>0.1</v>
      </c>
      <c r="K741" s="11" t="n">
        <v>4690.03</v>
      </c>
      <c r="L741" s="11" t="n">
        <v>778.1</v>
      </c>
      <c r="M741" s="12" t="n">
        <v>0.1659</v>
      </c>
    </row>
    <row r="742">
      <c r="A742" t="inlineStr">
        <is>
          <t>ORD-11091</t>
        </is>
      </c>
      <c r="B742" s="10" t="inlineStr">
        <is>
          <t>2024-09-12</t>
        </is>
      </c>
      <c r="C742" t="inlineStr">
        <is>
          <t>Customer 192</t>
        </is>
      </c>
      <c r="D742" t="inlineStr">
        <is>
          <t>East</t>
        </is>
      </c>
      <c r="E742" t="inlineStr">
        <is>
          <t>Technology</t>
        </is>
      </c>
      <c r="F742" t="inlineStr">
        <is>
          <t>Wireless Mouse</t>
        </is>
      </c>
      <c r="G742" t="inlineStr">
        <is>
          <t>Second Class</t>
        </is>
      </c>
      <c r="H742" t="n">
        <v>3</v>
      </c>
      <c r="I742" s="11" t="n">
        <v>393.29</v>
      </c>
      <c r="J742" s="12" t="n">
        <v>0</v>
      </c>
      <c r="K742" s="11" t="n">
        <v>1179.87</v>
      </c>
      <c r="L742" s="11" t="n">
        <v>317.86</v>
      </c>
      <c r="M742" s="12" t="n">
        <v>0.2694</v>
      </c>
    </row>
    <row r="743">
      <c r="A743" t="inlineStr">
        <is>
          <t>ORD-10313</t>
        </is>
      </c>
      <c r="B743" s="10" t="inlineStr">
        <is>
          <t>2024-09-13</t>
        </is>
      </c>
      <c r="C743" t="inlineStr">
        <is>
          <t>Customer 142</t>
        </is>
      </c>
      <c r="D743" t="inlineStr">
        <is>
          <t>North</t>
        </is>
      </c>
      <c r="E743" t="inlineStr">
        <is>
          <t>Furniture</t>
        </is>
      </c>
      <c r="F743" t="inlineStr">
        <is>
          <t>Bookcase</t>
        </is>
      </c>
      <c r="G743" t="inlineStr">
        <is>
          <t>Standard Class</t>
        </is>
      </c>
      <c r="H743" t="n">
        <v>1</v>
      </c>
      <c r="I743" s="11" t="n">
        <v>246.53</v>
      </c>
      <c r="J743" s="12" t="n">
        <v>0.1</v>
      </c>
      <c r="K743" s="11" t="n">
        <v>221.88</v>
      </c>
      <c r="L743" s="11" t="n">
        <v>13.12</v>
      </c>
      <c r="M743" s="12" t="n">
        <v>0.0591</v>
      </c>
    </row>
    <row r="744">
      <c r="A744" t="inlineStr">
        <is>
          <t>ORD-11341</t>
        </is>
      </c>
      <c r="B744" s="10" t="inlineStr">
        <is>
          <t>2024-09-14</t>
        </is>
      </c>
      <c r="C744" t="inlineStr">
        <is>
          <t>Customer 22</t>
        </is>
      </c>
      <c r="D744" t="inlineStr">
        <is>
          <t>South</t>
        </is>
      </c>
      <c r="E744" t="inlineStr">
        <is>
          <t>Office Supplies</t>
        </is>
      </c>
      <c r="F744" t="inlineStr">
        <is>
          <t>Binder</t>
        </is>
      </c>
      <c r="G744" t="inlineStr">
        <is>
          <t>First Class</t>
        </is>
      </c>
      <c r="H744" t="n">
        <v>11</v>
      </c>
      <c r="I744" s="11" t="n">
        <v>705.75</v>
      </c>
      <c r="J744" s="12" t="n">
        <v>0.3</v>
      </c>
      <c r="K744" s="11" t="n">
        <v>5434.27</v>
      </c>
      <c r="L744" s="11" t="n">
        <v>-1025.5</v>
      </c>
      <c r="M744" s="12" t="n">
        <v>-0.1887</v>
      </c>
    </row>
    <row r="745">
      <c r="A745" t="inlineStr">
        <is>
          <t>ORD-11720</t>
        </is>
      </c>
      <c r="B745" s="10" t="inlineStr">
        <is>
          <t>2024-09-14</t>
        </is>
      </c>
      <c r="C745" t="inlineStr">
        <is>
          <t>Customer 106</t>
        </is>
      </c>
      <c r="D745" t="inlineStr">
        <is>
          <t>West</t>
        </is>
      </c>
      <c r="E745" t="inlineStr">
        <is>
          <t>Technology</t>
        </is>
      </c>
      <c r="F745" t="inlineStr">
        <is>
          <t>Laptop</t>
        </is>
      </c>
      <c r="G745" t="inlineStr">
        <is>
          <t>Second Class</t>
        </is>
      </c>
      <c r="H745" t="n">
        <v>10</v>
      </c>
      <c r="I745" s="11" t="n">
        <v>165.66</v>
      </c>
      <c r="J745" s="12" t="n">
        <v>0</v>
      </c>
      <c r="K745" s="11" t="n">
        <v>1656.6</v>
      </c>
      <c r="L745" s="11" t="n">
        <v>592.0599999999999</v>
      </c>
      <c r="M745" s="12" t="n">
        <v>0.3574</v>
      </c>
    </row>
    <row r="746">
      <c r="A746" t="inlineStr">
        <is>
          <t>ORD-11699</t>
        </is>
      </c>
      <c r="B746" s="10" t="inlineStr">
        <is>
          <t>2024-09-14</t>
        </is>
      </c>
      <c r="C746" t="inlineStr">
        <is>
          <t>Customer 96</t>
        </is>
      </c>
      <c r="D746" t="inlineStr">
        <is>
          <t>South</t>
        </is>
      </c>
      <c r="E746" t="inlineStr">
        <is>
          <t>Office Supplies</t>
        </is>
      </c>
      <c r="F746" t="inlineStr">
        <is>
          <t>Binder</t>
        </is>
      </c>
      <c r="G746" t="inlineStr">
        <is>
          <t>Standard Class</t>
        </is>
      </c>
      <c r="H746" t="n">
        <v>6</v>
      </c>
      <c r="I746" s="11" t="n">
        <v>208.8</v>
      </c>
      <c r="J746" s="12" t="n">
        <v>0</v>
      </c>
      <c r="K746" s="11" t="n">
        <v>1252.8</v>
      </c>
      <c r="L746" s="11" t="n">
        <v>498.17</v>
      </c>
      <c r="M746" s="12" t="n">
        <v>0.3976</v>
      </c>
    </row>
    <row r="747">
      <c r="A747" t="inlineStr">
        <is>
          <t>ORD-10421</t>
        </is>
      </c>
      <c r="B747" s="10" t="inlineStr">
        <is>
          <t>2024-09-14</t>
        </is>
      </c>
      <c r="C747" t="inlineStr">
        <is>
          <t>Customer 116</t>
        </is>
      </c>
      <c r="D747" t="inlineStr">
        <is>
          <t>East</t>
        </is>
      </c>
      <c r="E747" t="inlineStr">
        <is>
          <t>Furniture</t>
        </is>
      </c>
      <c r="F747" t="inlineStr">
        <is>
          <t>Table Lamp</t>
        </is>
      </c>
      <c r="G747" t="inlineStr">
        <is>
          <t>Same Day</t>
        </is>
      </c>
      <c r="H747" t="n">
        <v>5</v>
      </c>
      <c r="I747" s="11" t="n">
        <v>558.04</v>
      </c>
      <c r="J747" s="12" t="n">
        <v>0.15</v>
      </c>
      <c r="K747" s="11" t="n">
        <v>2371.67</v>
      </c>
      <c r="L747" s="11" t="n">
        <v>308.75</v>
      </c>
      <c r="M747" s="12" t="n">
        <v>0.1302</v>
      </c>
    </row>
    <row r="748">
      <c r="A748" t="inlineStr">
        <is>
          <t>ORD-11201</t>
        </is>
      </c>
      <c r="B748" s="10" t="inlineStr">
        <is>
          <t>2024-09-15</t>
        </is>
      </c>
      <c r="C748" t="inlineStr">
        <is>
          <t>Customer 148</t>
        </is>
      </c>
      <c r="D748" t="inlineStr">
        <is>
          <t>North</t>
        </is>
      </c>
      <c r="E748" t="inlineStr">
        <is>
          <t>Technology</t>
        </is>
      </c>
      <c r="F748" t="inlineStr">
        <is>
          <t>Printer</t>
        </is>
      </c>
      <c r="G748" t="inlineStr">
        <is>
          <t>Second Class</t>
        </is>
      </c>
      <c r="H748" t="n">
        <v>7</v>
      </c>
      <c r="I748" s="11" t="n">
        <v>1134.47</v>
      </c>
      <c r="J748" s="12" t="n">
        <v>0.1</v>
      </c>
      <c r="K748" s="11" t="n">
        <v>7147.16</v>
      </c>
      <c r="L748" s="11" t="n">
        <v>522.77</v>
      </c>
      <c r="M748" s="12" t="n">
        <v>0.0731</v>
      </c>
    </row>
    <row r="749">
      <c r="A749" t="inlineStr">
        <is>
          <t>ORD-11389</t>
        </is>
      </c>
      <c r="B749" s="10" t="inlineStr">
        <is>
          <t>2024-09-16</t>
        </is>
      </c>
      <c r="C749" t="inlineStr">
        <is>
          <t>Customer 169</t>
        </is>
      </c>
      <c r="D749" t="inlineStr">
        <is>
          <t>South</t>
        </is>
      </c>
      <c r="E749" t="inlineStr">
        <is>
          <t>Office Supplies</t>
        </is>
      </c>
      <c r="F749" t="inlineStr">
        <is>
          <t>Pens (Box)</t>
        </is>
      </c>
      <c r="G749" t="inlineStr">
        <is>
          <t>Second Class</t>
        </is>
      </c>
      <c r="H749" t="n">
        <v>4</v>
      </c>
      <c r="I749" s="11" t="n">
        <v>1032.59</v>
      </c>
      <c r="J749" s="12" t="n">
        <v>0.3</v>
      </c>
      <c r="K749" s="11" t="n">
        <v>2891.25</v>
      </c>
      <c r="L749" s="11" t="n">
        <v>454.26</v>
      </c>
      <c r="M749" s="12" t="n">
        <v>0.1571</v>
      </c>
    </row>
    <row r="750">
      <c r="A750" t="inlineStr">
        <is>
          <t>ORD-10644</t>
        </is>
      </c>
      <c r="B750" s="10" t="inlineStr">
        <is>
          <t>2024-09-16</t>
        </is>
      </c>
      <c r="C750" t="inlineStr">
        <is>
          <t>Customer 7</t>
        </is>
      </c>
      <c r="D750" t="inlineStr">
        <is>
          <t>North</t>
        </is>
      </c>
      <c r="E750" t="inlineStr">
        <is>
          <t>Office Supplies</t>
        </is>
      </c>
      <c r="F750" t="inlineStr">
        <is>
          <t>Paper</t>
        </is>
      </c>
      <c r="G750" t="inlineStr">
        <is>
          <t>Standard Class</t>
        </is>
      </c>
      <c r="H750" t="n">
        <v>11</v>
      </c>
      <c r="I750" s="11" t="n">
        <v>740.54</v>
      </c>
      <c r="J750" s="12" t="n">
        <v>0</v>
      </c>
      <c r="K750" s="11" t="n">
        <v>8145.94</v>
      </c>
      <c r="L750" s="11" t="n">
        <v>1516.67</v>
      </c>
      <c r="M750" s="12" t="n">
        <v>0.1862</v>
      </c>
    </row>
    <row r="751">
      <c r="A751" t="inlineStr">
        <is>
          <t>ORD-10567</t>
        </is>
      </c>
      <c r="B751" s="10" t="inlineStr">
        <is>
          <t>2024-09-17</t>
        </is>
      </c>
      <c r="C751" t="inlineStr">
        <is>
          <t>Customer 134</t>
        </is>
      </c>
      <c r="D751" t="inlineStr">
        <is>
          <t>East</t>
        </is>
      </c>
      <c r="E751" t="inlineStr">
        <is>
          <t>Office Supplies</t>
        </is>
      </c>
      <c r="F751" t="inlineStr">
        <is>
          <t>Stapler</t>
        </is>
      </c>
      <c r="G751" t="inlineStr">
        <is>
          <t>First Class</t>
        </is>
      </c>
      <c r="H751" t="n">
        <v>1</v>
      </c>
      <c r="I751" s="11" t="n">
        <v>1004.16</v>
      </c>
      <c r="J751" s="12" t="n">
        <v>0.2</v>
      </c>
      <c r="K751" s="11" t="n">
        <v>803.33</v>
      </c>
      <c r="L751" s="11" t="n">
        <v>221.75</v>
      </c>
      <c r="M751" s="12" t="n">
        <v>0.276</v>
      </c>
    </row>
    <row r="752">
      <c r="A752" t="inlineStr">
        <is>
          <t>ORD-11279</t>
        </is>
      </c>
      <c r="B752" s="10" t="inlineStr">
        <is>
          <t>2024-09-18</t>
        </is>
      </c>
      <c r="C752" t="inlineStr">
        <is>
          <t>Customer 24</t>
        </is>
      </c>
      <c r="D752" t="inlineStr">
        <is>
          <t>West</t>
        </is>
      </c>
      <c r="E752" t="inlineStr">
        <is>
          <t>Office Supplies</t>
        </is>
      </c>
      <c r="F752" t="inlineStr">
        <is>
          <t>Pens (Box)</t>
        </is>
      </c>
      <c r="G752" t="inlineStr">
        <is>
          <t>First Class</t>
        </is>
      </c>
      <c r="H752" t="n">
        <v>10</v>
      </c>
      <c r="I752" s="11" t="n">
        <v>818.8200000000001</v>
      </c>
      <c r="J752" s="12" t="n">
        <v>0.1</v>
      </c>
      <c r="K752" s="11" t="n">
        <v>7369.38</v>
      </c>
      <c r="L752" s="11" t="n">
        <v>1841.88</v>
      </c>
      <c r="M752" s="12" t="n">
        <v>0.2499</v>
      </c>
    </row>
    <row r="753">
      <c r="A753" t="inlineStr">
        <is>
          <t>ORD-10806</t>
        </is>
      </c>
      <c r="B753" s="10" t="inlineStr">
        <is>
          <t>2024-09-18</t>
        </is>
      </c>
      <c r="C753" t="inlineStr">
        <is>
          <t>Customer 111</t>
        </is>
      </c>
      <c r="D753" t="inlineStr">
        <is>
          <t>South</t>
        </is>
      </c>
      <c r="E753" t="inlineStr">
        <is>
          <t>Technology</t>
        </is>
      </c>
      <c r="F753" t="inlineStr">
        <is>
          <t>Laptop</t>
        </is>
      </c>
      <c r="G753" t="inlineStr">
        <is>
          <t>Same Day</t>
        </is>
      </c>
      <c r="H753" t="n">
        <v>5</v>
      </c>
      <c r="I753" s="11" t="n">
        <v>931.85</v>
      </c>
      <c r="J753" s="12" t="n">
        <v>0.1</v>
      </c>
      <c r="K753" s="11" t="n">
        <v>4193.32</v>
      </c>
      <c r="L753" s="11" t="n">
        <v>777.86</v>
      </c>
      <c r="M753" s="12" t="n">
        <v>0.1855</v>
      </c>
    </row>
    <row r="754">
      <c r="A754" t="inlineStr">
        <is>
          <t>ORD-11444</t>
        </is>
      </c>
      <c r="B754" s="10" t="inlineStr">
        <is>
          <t>2024-09-18</t>
        </is>
      </c>
      <c r="C754" t="inlineStr">
        <is>
          <t>Customer 106</t>
        </is>
      </c>
      <c r="D754" t="inlineStr">
        <is>
          <t>West</t>
        </is>
      </c>
      <c r="E754" t="inlineStr">
        <is>
          <t>Office Supplies</t>
        </is>
      </c>
      <c r="F754" t="inlineStr">
        <is>
          <t>Pens (Box)</t>
        </is>
      </c>
      <c r="G754" t="inlineStr">
        <is>
          <t>Second Class</t>
        </is>
      </c>
      <c r="H754" t="n">
        <v>7</v>
      </c>
      <c r="I754" s="11" t="n">
        <v>1198.88</v>
      </c>
      <c r="J754" s="12" t="n">
        <v>0</v>
      </c>
      <c r="K754" s="11" t="n">
        <v>8392.16</v>
      </c>
      <c r="L754" s="11" t="n">
        <v>1997.28</v>
      </c>
      <c r="M754" s="12" t="n">
        <v>0.238</v>
      </c>
    </row>
    <row r="755">
      <c r="A755" t="inlineStr">
        <is>
          <t>ORD-11556</t>
        </is>
      </c>
      <c r="B755" s="10" t="inlineStr">
        <is>
          <t>2024-09-18</t>
        </is>
      </c>
      <c r="C755" t="inlineStr">
        <is>
          <t>Customer 86</t>
        </is>
      </c>
      <c r="D755" t="inlineStr">
        <is>
          <t>East</t>
        </is>
      </c>
      <c r="E755" t="inlineStr">
        <is>
          <t>Office Supplies</t>
        </is>
      </c>
      <c r="F755" t="inlineStr">
        <is>
          <t>Binder</t>
        </is>
      </c>
      <c r="G755" t="inlineStr">
        <is>
          <t>First Class</t>
        </is>
      </c>
      <c r="H755" t="n">
        <v>1</v>
      </c>
      <c r="I755" s="11" t="n">
        <v>16.09</v>
      </c>
      <c r="J755" s="12" t="n">
        <v>0</v>
      </c>
      <c r="K755" s="11" t="n">
        <v>16.09</v>
      </c>
      <c r="L755" s="11" t="n">
        <v>8.029999999999999</v>
      </c>
      <c r="M755" s="12" t="n">
        <v>0.4991</v>
      </c>
    </row>
    <row r="756">
      <c r="A756" t="inlineStr">
        <is>
          <t>ORD-10801</t>
        </is>
      </c>
      <c r="B756" s="10" t="inlineStr">
        <is>
          <t>2024-09-19</t>
        </is>
      </c>
      <c r="C756" t="inlineStr">
        <is>
          <t>Customer 121</t>
        </is>
      </c>
      <c r="D756" t="inlineStr">
        <is>
          <t>South</t>
        </is>
      </c>
      <c r="E756" t="inlineStr">
        <is>
          <t>Technology</t>
        </is>
      </c>
      <c r="F756" t="inlineStr">
        <is>
          <t>Laptop</t>
        </is>
      </c>
      <c r="G756" t="inlineStr">
        <is>
          <t>Standard Class</t>
        </is>
      </c>
      <c r="H756" t="n">
        <v>7</v>
      </c>
      <c r="I756" s="11" t="n">
        <v>872.52</v>
      </c>
      <c r="J756" s="12" t="n">
        <v>0</v>
      </c>
      <c r="K756" s="11" t="n">
        <v>6107.64</v>
      </c>
      <c r="L756" s="11" t="n">
        <v>3027.62</v>
      </c>
      <c r="M756" s="12" t="n">
        <v>0.4957</v>
      </c>
    </row>
    <row r="757">
      <c r="A757" t="inlineStr">
        <is>
          <t>ORD-10591</t>
        </is>
      </c>
      <c r="B757" s="10" t="inlineStr">
        <is>
          <t>2024-09-19</t>
        </is>
      </c>
      <c r="C757" t="inlineStr">
        <is>
          <t>Customer 118</t>
        </is>
      </c>
      <c r="D757" t="inlineStr">
        <is>
          <t>North</t>
        </is>
      </c>
      <c r="E757" t="inlineStr">
        <is>
          <t>Furniture</t>
        </is>
      </c>
      <c r="F757" t="inlineStr">
        <is>
          <t>Desk</t>
        </is>
      </c>
      <c r="G757" t="inlineStr">
        <is>
          <t>Same Day</t>
        </is>
      </c>
      <c r="H757" t="n">
        <v>4</v>
      </c>
      <c r="I757" s="11" t="n">
        <v>780.6799999999999</v>
      </c>
      <c r="J757" s="12" t="n">
        <v>0</v>
      </c>
      <c r="K757" s="11" t="n">
        <v>3122.72</v>
      </c>
      <c r="L757" s="11" t="n">
        <v>1459.48</v>
      </c>
      <c r="M757" s="12" t="n">
        <v>0.4674</v>
      </c>
    </row>
    <row r="758">
      <c r="A758" t="inlineStr">
        <is>
          <t>ORD-10197</t>
        </is>
      </c>
      <c r="B758" s="10" t="inlineStr">
        <is>
          <t>2024-09-19</t>
        </is>
      </c>
      <c r="C758" t="inlineStr">
        <is>
          <t>Customer 72</t>
        </is>
      </c>
      <c r="D758" t="inlineStr">
        <is>
          <t>North</t>
        </is>
      </c>
      <c r="E758" t="inlineStr">
        <is>
          <t>Office Supplies</t>
        </is>
      </c>
      <c r="F758" t="inlineStr">
        <is>
          <t>Paper</t>
        </is>
      </c>
      <c r="G758" t="inlineStr">
        <is>
          <t>Standard Class</t>
        </is>
      </c>
      <c r="H758" t="n">
        <v>1</v>
      </c>
      <c r="I758" s="11" t="n">
        <v>783.75</v>
      </c>
      <c r="J758" s="12" t="n">
        <v>0.15</v>
      </c>
      <c r="K758" s="11" t="n">
        <v>666.1900000000001</v>
      </c>
      <c r="L758" s="11" t="n">
        <v>100.34</v>
      </c>
      <c r="M758" s="12" t="n">
        <v>0.1506</v>
      </c>
    </row>
    <row r="759">
      <c r="A759" t="inlineStr">
        <is>
          <t>ORD-10550</t>
        </is>
      </c>
      <c r="B759" s="10" t="inlineStr">
        <is>
          <t>2024-09-19</t>
        </is>
      </c>
      <c r="C759" t="inlineStr">
        <is>
          <t>Customer 9</t>
        </is>
      </c>
      <c r="D759" t="inlineStr">
        <is>
          <t>North</t>
        </is>
      </c>
      <c r="E759" t="inlineStr">
        <is>
          <t>Furniture</t>
        </is>
      </c>
      <c r="F759" t="inlineStr">
        <is>
          <t>Bookcase</t>
        </is>
      </c>
      <c r="G759" t="inlineStr">
        <is>
          <t>Same Day</t>
        </is>
      </c>
      <c r="H759" t="n">
        <v>10</v>
      </c>
      <c r="I759" s="11" t="n">
        <v>734.9400000000001</v>
      </c>
      <c r="J759" s="12" t="n">
        <v>0</v>
      </c>
      <c r="K759" s="11" t="n">
        <v>7349.4</v>
      </c>
      <c r="L759" s="11" t="n">
        <v>2785.07</v>
      </c>
      <c r="M759" s="12" t="n">
        <v>0.379</v>
      </c>
    </row>
    <row r="760">
      <c r="A760" t="inlineStr">
        <is>
          <t>ORD-11328</t>
        </is>
      </c>
      <c r="B760" s="10" t="inlineStr">
        <is>
          <t>2024-09-19</t>
        </is>
      </c>
      <c r="C760" t="inlineStr">
        <is>
          <t>Customer 79</t>
        </is>
      </c>
      <c r="D760" t="inlineStr">
        <is>
          <t>East</t>
        </is>
      </c>
      <c r="E760" t="inlineStr">
        <is>
          <t>Office Supplies</t>
        </is>
      </c>
      <c r="F760" t="inlineStr">
        <is>
          <t>Pens (Box)</t>
        </is>
      </c>
      <c r="G760" t="inlineStr">
        <is>
          <t>First Class</t>
        </is>
      </c>
      <c r="H760" t="n">
        <v>8</v>
      </c>
      <c r="I760" s="11" t="n">
        <v>155.41</v>
      </c>
      <c r="J760" s="12" t="n">
        <v>0</v>
      </c>
      <c r="K760" s="11" t="n">
        <v>1243.28</v>
      </c>
      <c r="L760" s="11" t="n">
        <v>524.45</v>
      </c>
      <c r="M760" s="12" t="n">
        <v>0.4218</v>
      </c>
    </row>
    <row r="761">
      <c r="A761" t="inlineStr">
        <is>
          <t>ORD-11822</t>
        </is>
      </c>
      <c r="B761" s="10" t="inlineStr">
        <is>
          <t>2024-09-19</t>
        </is>
      </c>
      <c r="C761" t="inlineStr">
        <is>
          <t>Customer 22</t>
        </is>
      </c>
      <c r="D761" t="inlineStr">
        <is>
          <t>South</t>
        </is>
      </c>
      <c r="E761" t="inlineStr">
        <is>
          <t>Office Supplies</t>
        </is>
      </c>
      <c r="F761" t="inlineStr">
        <is>
          <t>Pens (Box)</t>
        </is>
      </c>
      <c r="G761" t="inlineStr">
        <is>
          <t>Standard Class</t>
        </is>
      </c>
      <c r="H761" t="n">
        <v>6</v>
      </c>
      <c r="I761" s="11" t="n">
        <v>598.415</v>
      </c>
      <c r="J761" s="12" t="n">
        <v>0</v>
      </c>
      <c r="K761" s="11" t="n">
        <v>5215.98</v>
      </c>
      <c r="L761" s="11" t="n">
        <v>1777.4</v>
      </c>
      <c r="M761" s="12" t="n">
        <v>0.3408</v>
      </c>
    </row>
    <row r="762">
      <c r="A762" t="inlineStr">
        <is>
          <t>ORD-10133</t>
        </is>
      </c>
      <c r="B762" s="10" t="inlineStr">
        <is>
          <t>2024-09-19</t>
        </is>
      </c>
      <c r="C762" t="inlineStr">
        <is>
          <t>Customer 161</t>
        </is>
      </c>
      <c r="D762" t="inlineStr">
        <is>
          <t>West</t>
        </is>
      </c>
      <c r="E762" t="inlineStr">
        <is>
          <t>Technology</t>
        </is>
      </c>
      <c r="F762" t="inlineStr">
        <is>
          <t>Monitor</t>
        </is>
      </c>
      <c r="G762" t="inlineStr">
        <is>
          <t>Standard Class</t>
        </is>
      </c>
      <c r="H762" t="n">
        <v>6</v>
      </c>
      <c r="I762" s="11" t="n">
        <v>646.2</v>
      </c>
      <c r="J762" s="12" t="n">
        <v>0</v>
      </c>
      <c r="K762" s="11" t="n">
        <v>3877.2</v>
      </c>
      <c r="L762" s="11" t="n">
        <v>1759.81</v>
      </c>
      <c r="M762" s="12" t="n">
        <v>0.4539</v>
      </c>
    </row>
    <row r="763">
      <c r="A763" t="inlineStr">
        <is>
          <t>ORD-10062</t>
        </is>
      </c>
      <c r="B763" s="10" t="inlineStr">
        <is>
          <t>2024-09-20</t>
        </is>
      </c>
      <c r="C763" t="inlineStr">
        <is>
          <t>Customer 31</t>
        </is>
      </c>
      <c r="D763" t="inlineStr">
        <is>
          <t>South</t>
        </is>
      </c>
      <c r="E763" t="inlineStr">
        <is>
          <t>Technology</t>
        </is>
      </c>
      <c r="F763" t="inlineStr">
        <is>
          <t>Printer</t>
        </is>
      </c>
      <c r="G763" t="inlineStr">
        <is>
          <t>Same Day</t>
        </is>
      </c>
      <c r="H763" t="n">
        <v>6</v>
      </c>
      <c r="I763" s="11" t="n">
        <v>617.72</v>
      </c>
      <c r="J763" s="12" t="n">
        <v>0.1</v>
      </c>
      <c r="K763" s="11" t="n">
        <v>3335.69</v>
      </c>
      <c r="L763" s="11" t="n">
        <v>332.68</v>
      </c>
      <c r="M763" s="12" t="n">
        <v>0.0997</v>
      </c>
    </row>
    <row r="764">
      <c r="A764" t="inlineStr">
        <is>
          <t>ORD-11815</t>
        </is>
      </c>
      <c r="B764" s="10" t="inlineStr">
        <is>
          <t>2024-09-20</t>
        </is>
      </c>
      <c r="C764" t="inlineStr">
        <is>
          <t>Customer 38</t>
        </is>
      </c>
      <c r="D764" t="inlineStr">
        <is>
          <t>West</t>
        </is>
      </c>
      <c r="E764" t="inlineStr">
        <is>
          <t>Furniture</t>
        </is>
      </c>
      <c r="F764" t="inlineStr">
        <is>
          <t>Desk</t>
        </is>
      </c>
      <c r="G764" t="inlineStr">
        <is>
          <t>First Class</t>
        </is>
      </c>
      <c r="H764" t="n">
        <v>7</v>
      </c>
      <c r="I764" s="11" t="n">
        <v>958.8099999999999</v>
      </c>
      <c r="J764" s="12" t="n">
        <v>0</v>
      </c>
      <c r="K764" s="11" t="n">
        <v>6711.67</v>
      </c>
      <c r="L764" s="11" t="n">
        <v>2971.12</v>
      </c>
      <c r="M764" s="12" t="n">
        <v>0.4427</v>
      </c>
    </row>
    <row r="765">
      <c r="A765" t="inlineStr">
        <is>
          <t>ORD-11966</t>
        </is>
      </c>
      <c r="B765" s="10" t="inlineStr">
        <is>
          <t>2024-09-21</t>
        </is>
      </c>
      <c r="C765" t="inlineStr">
        <is>
          <t>Customer 164</t>
        </is>
      </c>
      <c r="D765" t="inlineStr">
        <is>
          <t>South</t>
        </is>
      </c>
      <c r="E765" t="inlineStr">
        <is>
          <t>Office Supplies</t>
        </is>
      </c>
      <c r="F765" t="inlineStr">
        <is>
          <t>Pens (Box)</t>
        </is>
      </c>
      <c r="G765" t="inlineStr">
        <is>
          <t>First Class</t>
        </is>
      </c>
      <c r="H765" t="n">
        <v>5</v>
      </c>
      <c r="I765" s="11" t="n">
        <v>479.01</v>
      </c>
      <c r="J765" s="12" t="n">
        <v>0.1</v>
      </c>
      <c r="K765" s="11" t="n">
        <v>2155.55</v>
      </c>
      <c r="L765" s="11" t="n">
        <v>807.1900000000001</v>
      </c>
      <c r="M765" s="12" t="n">
        <v>0.3745</v>
      </c>
    </row>
    <row r="766">
      <c r="A766" t="inlineStr">
        <is>
          <t>ORD-11142</t>
        </is>
      </c>
      <c r="B766" s="10" t="inlineStr">
        <is>
          <t>2024-09-21</t>
        </is>
      </c>
      <c r="C766" t="inlineStr">
        <is>
          <t>Customer 158</t>
        </is>
      </c>
      <c r="D766" t="inlineStr">
        <is>
          <t>East</t>
        </is>
      </c>
      <c r="E766" t="inlineStr">
        <is>
          <t>Technology</t>
        </is>
      </c>
      <c r="F766" t="inlineStr">
        <is>
          <t>Printer</t>
        </is>
      </c>
      <c r="G766" t="inlineStr">
        <is>
          <t>Second Class</t>
        </is>
      </c>
      <c r="H766" t="n">
        <v>11</v>
      </c>
      <c r="I766" s="11" t="n">
        <v>28.53</v>
      </c>
      <c r="J766" s="12" t="n">
        <v>0</v>
      </c>
      <c r="K766" s="11" t="n">
        <v>313.83</v>
      </c>
      <c r="L766" s="11" t="n">
        <v>118.27</v>
      </c>
      <c r="M766" s="12" t="n">
        <v>0.3769</v>
      </c>
    </row>
    <row r="767">
      <c r="A767" t="inlineStr">
        <is>
          <t>ORD-10858</t>
        </is>
      </c>
      <c r="B767" s="10" t="inlineStr">
        <is>
          <t>2024-09-21</t>
        </is>
      </c>
      <c r="C767" t="inlineStr">
        <is>
          <t>Customer 166</t>
        </is>
      </c>
      <c r="D767" t="inlineStr">
        <is>
          <t>West</t>
        </is>
      </c>
      <c r="E767" t="inlineStr">
        <is>
          <t>Technology</t>
        </is>
      </c>
      <c r="F767" t="inlineStr">
        <is>
          <t>Wireless Mouse</t>
        </is>
      </c>
      <c r="G767" t="inlineStr">
        <is>
          <t>Standard Class</t>
        </is>
      </c>
      <c r="H767" t="n">
        <v>8</v>
      </c>
      <c r="I767" s="11" t="n">
        <v>661.22</v>
      </c>
      <c r="J767" s="12" t="n">
        <v>0</v>
      </c>
      <c r="K767" s="11" t="n">
        <v>5289.76</v>
      </c>
      <c r="L767" s="11" t="n">
        <v>971.59</v>
      </c>
      <c r="M767" s="12" t="n">
        <v>0.1837</v>
      </c>
    </row>
    <row r="768">
      <c r="A768" t="inlineStr">
        <is>
          <t>ORD-10977</t>
        </is>
      </c>
      <c r="B768" s="10" t="inlineStr">
        <is>
          <t>2024-09-22</t>
        </is>
      </c>
      <c r="C768" t="inlineStr">
        <is>
          <t>Customer 47</t>
        </is>
      </c>
      <c r="D768" t="inlineStr">
        <is>
          <t>South</t>
        </is>
      </c>
      <c r="E768" t="inlineStr">
        <is>
          <t>Furniture</t>
        </is>
      </c>
      <c r="F768" t="inlineStr">
        <is>
          <t>Chair</t>
        </is>
      </c>
      <c r="G768" t="inlineStr">
        <is>
          <t>Standard Class</t>
        </is>
      </c>
      <c r="H768" t="n">
        <v>2</v>
      </c>
      <c r="I768" s="11" t="n">
        <v>829.67</v>
      </c>
      <c r="J768" s="12" t="n">
        <v>0</v>
      </c>
      <c r="K768" s="11" t="n">
        <v>1659.34</v>
      </c>
      <c r="L768" s="11" t="n">
        <v>432.59</v>
      </c>
      <c r="M768" s="12" t="n">
        <v>0.2607</v>
      </c>
    </row>
    <row r="769">
      <c r="A769" t="inlineStr">
        <is>
          <t>ORD-10736</t>
        </is>
      </c>
      <c r="B769" s="10" t="inlineStr">
        <is>
          <t>2024-09-22</t>
        </is>
      </c>
      <c r="C769" t="inlineStr">
        <is>
          <t>Customer 37</t>
        </is>
      </c>
      <c r="D769" t="inlineStr">
        <is>
          <t>West</t>
        </is>
      </c>
      <c r="E769" t="inlineStr">
        <is>
          <t>Furniture</t>
        </is>
      </c>
      <c r="F769" t="inlineStr">
        <is>
          <t>Desk</t>
        </is>
      </c>
      <c r="G769" t="inlineStr">
        <is>
          <t>Second Class</t>
        </is>
      </c>
      <c r="H769" t="n">
        <v>10</v>
      </c>
      <c r="I769" s="11" t="n">
        <v>183.93</v>
      </c>
      <c r="J769" s="12" t="n">
        <v>0</v>
      </c>
      <c r="K769" s="11" t="n">
        <v>1839.3</v>
      </c>
      <c r="L769" s="11" t="n">
        <v>531.6799999999999</v>
      </c>
      <c r="M769" s="12" t="n">
        <v>0.2891</v>
      </c>
    </row>
    <row r="770">
      <c r="A770" t="inlineStr">
        <is>
          <t>ORD-11103</t>
        </is>
      </c>
      <c r="B770" s="10" t="inlineStr">
        <is>
          <t>2024-09-23</t>
        </is>
      </c>
      <c r="C770" t="inlineStr">
        <is>
          <t>Customer 14</t>
        </is>
      </c>
      <c r="D770" t="inlineStr">
        <is>
          <t>West</t>
        </is>
      </c>
      <c r="E770" t="inlineStr">
        <is>
          <t>Furniture</t>
        </is>
      </c>
      <c r="F770" t="inlineStr">
        <is>
          <t>Table Lamp</t>
        </is>
      </c>
      <c r="G770" t="inlineStr">
        <is>
          <t>First Class</t>
        </is>
      </c>
      <c r="H770" t="n">
        <v>7</v>
      </c>
      <c r="I770" s="11" t="n">
        <v>70.23</v>
      </c>
      <c r="J770" s="12" t="n">
        <v>0</v>
      </c>
      <c r="K770" s="11" t="n">
        <v>491.61</v>
      </c>
      <c r="L770" s="11" t="n">
        <v>137.59</v>
      </c>
      <c r="M770" s="12" t="n">
        <v>0.2799</v>
      </c>
    </row>
    <row r="771">
      <c r="A771" t="inlineStr">
        <is>
          <t>ORD-11408</t>
        </is>
      </c>
      <c r="B771" s="10" t="inlineStr">
        <is>
          <t>2024-09-23</t>
        </is>
      </c>
      <c r="C771" t="inlineStr">
        <is>
          <t>Customer 152</t>
        </is>
      </c>
      <c r="D771" t="inlineStr">
        <is>
          <t>South</t>
        </is>
      </c>
      <c r="E771" t="inlineStr">
        <is>
          <t>Technology</t>
        </is>
      </c>
      <c r="F771" t="inlineStr">
        <is>
          <t>Monitor</t>
        </is>
      </c>
      <c r="G771" t="inlineStr">
        <is>
          <t>Second Class</t>
        </is>
      </c>
      <c r="H771" t="n">
        <v>11</v>
      </c>
      <c r="I771" s="11" t="n">
        <v>750.77</v>
      </c>
      <c r="J771" s="12" t="n">
        <v>0.15</v>
      </c>
      <c r="K771" s="11" t="n">
        <v>7019.7</v>
      </c>
      <c r="L771" s="11" t="n">
        <v>2191.89</v>
      </c>
      <c r="M771" s="12" t="n">
        <v>0.3122</v>
      </c>
    </row>
    <row r="772">
      <c r="A772" t="inlineStr">
        <is>
          <t>ORD-11687</t>
        </is>
      </c>
      <c r="B772" s="10" t="inlineStr">
        <is>
          <t>2024-09-23</t>
        </is>
      </c>
      <c r="C772" t="inlineStr">
        <is>
          <t>Customer 151</t>
        </is>
      </c>
      <c r="D772" t="inlineStr">
        <is>
          <t>West</t>
        </is>
      </c>
      <c r="E772" t="inlineStr">
        <is>
          <t>Furniture</t>
        </is>
      </c>
      <c r="F772" t="inlineStr">
        <is>
          <t>Chair</t>
        </is>
      </c>
      <c r="G772" t="inlineStr">
        <is>
          <t>Standard Class</t>
        </is>
      </c>
      <c r="H772" t="n">
        <v>5</v>
      </c>
      <c r="I772" s="11" t="n">
        <v>694.22</v>
      </c>
      <c r="J772" s="12" t="n">
        <v>0</v>
      </c>
      <c r="K772" s="11" t="n">
        <v>3471.1</v>
      </c>
      <c r="L772" s="11" t="n">
        <v>1394.15</v>
      </c>
      <c r="M772" s="12" t="n">
        <v>0.4016</v>
      </c>
    </row>
    <row r="773">
      <c r="A773" t="inlineStr">
        <is>
          <t>ORD-10578</t>
        </is>
      </c>
      <c r="B773" s="10" t="inlineStr">
        <is>
          <t>2024-09-24</t>
        </is>
      </c>
      <c r="C773" t="inlineStr">
        <is>
          <t>Customer 34</t>
        </is>
      </c>
      <c r="D773" t="inlineStr">
        <is>
          <t>East</t>
        </is>
      </c>
      <c r="E773" t="inlineStr">
        <is>
          <t>Technology</t>
        </is>
      </c>
      <c r="F773" t="inlineStr">
        <is>
          <t>Monitor</t>
        </is>
      </c>
      <c r="G773" t="inlineStr">
        <is>
          <t>Standard Class</t>
        </is>
      </c>
      <c r="H773" t="n">
        <v>6</v>
      </c>
      <c r="I773" s="11" t="n">
        <v>472.2</v>
      </c>
      <c r="J773" s="12" t="n">
        <v>0</v>
      </c>
      <c r="K773" s="11" t="n">
        <v>5194.2</v>
      </c>
      <c r="L773" s="11" t="n">
        <v>2197.35</v>
      </c>
      <c r="M773" s="12" t="n">
        <v>0.423</v>
      </c>
    </row>
    <row r="774">
      <c r="A774" t="inlineStr">
        <is>
          <t>ORD-11880</t>
        </is>
      </c>
      <c r="B774" s="10" t="inlineStr">
        <is>
          <t>2024-09-24</t>
        </is>
      </c>
      <c r="C774" t="inlineStr">
        <is>
          <t>Customer 109</t>
        </is>
      </c>
      <c r="D774" t="inlineStr">
        <is>
          <t>South</t>
        </is>
      </c>
      <c r="E774" t="inlineStr">
        <is>
          <t>Technology</t>
        </is>
      </c>
      <c r="F774" t="inlineStr">
        <is>
          <t>Printer</t>
        </is>
      </c>
      <c r="G774" t="inlineStr">
        <is>
          <t>Same Day</t>
        </is>
      </c>
      <c r="H774" t="n">
        <v>9</v>
      </c>
      <c r="I774" s="11" t="n">
        <v>1013.32</v>
      </c>
      <c r="J774" s="12" t="n">
        <v>0</v>
      </c>
      <c r="K774" s="11" t="n">
        <v>9119.879999999999</v>
      </c>
      <c r="L774" s="11" t="n">
        <v>3066.85</v>
      </c>
      <c r="M774" s="12" t="n">
        <v>0.3363</v>
      </c>
    </row>
    <row r="775">
      <c r="A775" t="inlineStr">
        <is>
          <t>ORD-10693</t>
        </is>
      </c>
      <c r="B775" s="10" t="inlineStr">
        <is>
          <t>2024-09-24</t>
        </is>
      </c>
      <c r="C775" t="inlineStr">
        <is>
          <t>Customer 114</t>
        </is>
      </c>
      <c r="D775" t="inlineStr">
        <is>
          <t>South</t>
        </is>
      </c>
      <c r="E775" t="inlineStr">
        <is>
          <t>Furniture</t>
        </is>
      </c>
      <c r="F775" t="inlineStr">
        <is>
          <t>Chair</t>
        </is>
      </c>
      <c r="G775" t="inlineStr">
        <is>
          <t>Second Class</t>
        </is>
      </c>
      <c r="H775" t="n">
        <v>5</v>
      </c>
      <c r="I775" s="11" t="n">
        <v>749.59</v>
      </c>
      <c r="J775" s="12" t="n">
        <v>0.2</v>
      </c>
      <c r="K775" s="11" t="n">
        <v>2998.36</v>
      </c>
      <c r="L775" s="11" t="n">
        <v>-169.81</v>
      </c>
      <c r="M775" s="12" t="n">
        <v>-0.0566</v>
      </c>
    </row>
    <row r="776">
      <c r="A776" t="inlineStr">
        <is>
          <t>ORD-10366</t>
        </is>
      </c>
      <c r="B776" s="10" t="inlineStr">
        <is>
          <t>2024-09-25</t>
        </is>
      </c>
      <c r="C776" t="inlineStr">
        <is>
          <t>Customer 63</t>
        </is>
      </c>
      <c r="D776" t="inlineStr">
        <is>
          <t>South</t>
        </is>
      </c>
      <c r="E776" t="inlineStr">
        <is>
          <t>Technology</t>
        </is>
      </c>
      <c r="F776" t="inlineStr">
        <is>
          <t>Printer</t>
        </is>
      </c>
      <c r="G776" t="inlineStr">
        <is>
          <t>Second Class</t>
        </is>
      </c>
      <c r="H776" t="n">
        <v>3</v>
      </c>
      <c r="I776" s="11" t="n">
        <v>65.2</v>
      </c>
      <c r="J776" s="12" t="n">
        <v>0</v>
      </c>
      <c r="K776" s="11" t="n">
        <v>195.6</v>
      </c>
      <c r="L776" s="11" t="n">
        <v>84.59</v>
      </c>
      <c r="M776" s="12" t="n">
        <v>0.4325</v>
      </c>
    </row>
    <row r="777">
      <c r="A777" t="inlineStr">
        <is>
          <t>ORD-10015</t>
        </is>
      </c>
      <c r="B777" s="10" t="inlineStr">
        <is>
          <t>2024-09-25</t>
        </is>
      </c>
      <c r="C777" t="inlineStr">
        <is>
          <t>Customer 83</t>
        </is>
      </c>
      <c r="D777" t="inlineStr">
        <is>
          <t>North</t>
        </is>
      </c>
      <c r="E777" t="inlineStr">
        <is>
          <t>Furniture</t>
        </is>
      </c>
      <c r="F777" t="inlineStr">
        <is>
          <t>Chair</t>
        </is>
      </c>
      <c r="G777" t="inlineStr">
        <is>
          <t>First Class</t>
        </is>
      </c>
      <c r="H777" t="n">
        <v>2</v>
      </c>
      <c r="I777" s="11" t="n">
        <v>998.1799999999999</v>
      </c>
      <c r="J777" s="12" t="n">
        <v>0</v>
      </c>
      <c r="K777" s="11" t="n">
        <v>1996.36</v>
      </c>
      <c r="L777" s="11" t="n">
        <v>872.92</v>
      </c>
      <c r="M777" s="12" t="n">
        <v>0.4373</v>
      </c>
    </row>
    <row r="778">
      <c r="A778" t="inlineStr">
        <is>
          <t>ORD-10509</t>
        </is>
      </c>
      <c r="B778" s="10" t="inlineStr">
        <is>
          <t>2024-09-26</t>
        </is>
      </c>
      <c r="C778" t="inlineStr">
        <is>
          <t>Customer 46</t>
        </is>
      </c>
      <c r="D778" t="inlineStr">
        <is>
          <t>West</t>
        </is>
      </c>
      <c r="E778" t="inlineStr">
        <is>
          <t>Technology</t>
        </is>
      </c>
      <c r="F778" t="inlineStr">
        <is>
          <t>Monitor</t>
        </is>
      </c>
      <c r="G778" t="inlineStr">
        <is>
          <t>Same Day</t>
        </is>
      </c>
      <c r="H778" t="n">
        <v>10</v>
      </c>
      <c r="I778" s="11" t="n">
        <v>1054.2</v>
      </c>
      <c r="J778" s="12" t="n">
        <v>0.15</v>
      </c>
      <c r="K778" s="11" t="n">
        <v>8960.700000000001</v>
      </c>
      <c r="L778" s="11" t="n">
        <v>1786.19</v>
      </c>
      <c r="M778" s="12" t="n">
        <v>0.1993</v>
      </c>
    </row>
    <row r="779">
      <c r="A779" t="inlineStr">
        <is>
          <t>ORD-10565</t>
        </is>
      </c>
      <c r="B779" s="10" t="inlineStr">
        <is>
          <t>2024-09-27</t>
        </is>
      </c>
      <c r="C779" t="inlineStr">
        <is>
          <t>Customer 77</t>
        </is>
      </c>
      <c r="D779" t="inlineStr">
        <is>
          <t>South</t>
        </is>
      </c>
      <c r="E779" t="inlineStr">
        <is>
          <t>Technology</t>
        </is>
      </c>
      <c r="F779" t="inlineStr">
        <is>
          <t>Laptop</t>
        </is>
      </c>
      <c r="G779" t="inlineStr">
        <is>
          <t>Second Class</t>
        </is>
      </c>
      <c r="H779" t="n">
        <v>4</v>
      </c>
      <c r="I779" s="11" t="n">
        <v>796.15</v>
      </c>
      <c r="J779" s="12" t="n">
        <v>0</v>
      </c>
      <c r="K779" s="11" t="n">
        <v>3184.6</v>
      </c>
      <c r="L779" s="11" t="n">
        <v>544.71</v>
      </c>
      <c r="M779" s="12" t="n">
        <v>0.171</v>
      </c>
    </row>
    <row r="780">
      <c r="A780" t="inlineStr">
        <is>
          <t>ORD-10663</t>
        </is>
      </c>
      <c r="B780" s="10" t="inlineStr">
        <is>
          <t>2024-09-28</t>
        </is>
      </c>
      <c r="C780" t="inlineStr">
        <is>
          <t>Customer 50</t>
        </is>
      </c>
      <c r="D780" t="inlineStr">
        <is>
          <t>West</t>
        </is>
      </c>
      <c r="E780" t="inlineStr">
        <is>
          <t>Furniture</t>
        </is>
      </c>
      <c r="F780" t="inlineStr">
        <is>
          <t>Table Lamp</t>
        </is>
      </c>
      <c r="G780" t="inlineStr">
        <is>
          <t>Same Day</t>
        </is>
      </c>
      <c r="H780" t="n">
        <v>6</v>
      </c>
      <c r="I780" s="11" t="n">
        <v>716.6799999999999</v>
      </c>
      <c r="J780" s="12" t="n">
        <v>0.2</v>
      </c>
      <c r="K780" s="11" t="n">
        <v>3440.06</v>
      </c>
      <c r="L780" s="11" t="n">
        <v>724.72</v>
      </c>
      <c r="M780" s="12" t="n">
        <v>0.2107</v>
      </c>
    </row>
    <row r="781">
      <c r="A781" t="inlineStr">
        <is>
          <t>ORD-10422</t>
        </is>
      </c>
      <c r="B781" s="10" t="inlineStr">
        <is>
          <t>2024-09-28</t>
        </is>
      </c>
      <c r="C781" t="inlineStr">
        <is>
          <t>Customer 177</t>
        </is>
      </c>
      <c r="D781" t="inlineStr">
        <is>
          <t>East</t>
        </is>
      </c>
      <c r="E781" t="inlineStr">
        <is>
          <t>Technology</t>
        </is>
      </c>
      <c r="F781" t="inlineStr">
        <is>
          <t>Monitor</t>
        </is>
      </c>
      <c r="G781" t="inlineStr">
        <is>
          <t>Second Class</t>
        </is>
      </c>
      <c r="H781" t="n">
        <v>6</v>
      </c>
      <c r="I781" s="11" t="n">
        <v>59.57</v>
      </c>
      <c r="J781" s="12" t="n">
        <v>0.1</v>
      </c>
      <c r="K781" s="11" t="n">
        <v>321.68</v>
      </c>
      <c r="L781" s="11" t="n">
        <v>88.8</v>
      </c>
      <c r="M781" s="12" t="n">
        <v>0.2761</v>
      </c>
    </row>
    <row r="782">
      <c r="A782" t="inlineStr">
        <is>
          <t>ORD-10014</t>
        </is>
      </c>
      <c r="B782" s="10" t="inlineStr">
        <is>
          <t>2024-09-29</t>
        </is>
      </c>
      <c r="C782" t="inlineStr">
        <is>
          <t>Customer 190</t>
        </is>
      </c>
      <c r="D782" t="inlineStr">
        <is>
          <t>South</t>
        </is>
      </c>
      <c r="E782" t="inlineStr">
        <is>
          <t>Technology</t>
        </is>
      </c>
      <c r="F782" t="inlineStr">
        <is>
          <t>Printer</t>
        </is>
      </c>
      <c r="G782" t="inlineStr">
        <is>
          <t>Same Day</t>
        </is>
      </c>
      <c r="H782" t="n">
        <v>5</v>
      </c>
      <c r="I782" s="11" t="n">
        <v>117.89</v>
      </c>
      <c r="J782" s="12" t="n">
        <v>0.1</v>
      </c>
      <c r="K782" s="11" t="n">
        <v>530.51</v>
      </c>
      <c r="L782" s="11" t="n">
        <v>181.64</v>
      </c>
      <c r="M782" s="12" t="n">
        <v>0.3424</v>
      </c>
    </row>
    <row r="783">
      <c r="A783" t="inlineStr">
        <is>
          <t>ORD-10296</t>
        </is>
      </c>
      <c r="B783" s="10" t="inlineStr">
        <is>
          <t>2024-09-29</t>
        </is>
      </c>
      <c r="C783" t="inlineStr">
        <is>
          <t>Customer 68</t>
        </is>
      </c>
      <c r="D783" t="inlineStr">
        <is>
          <t>South</t>
        </is>
      </c>
      <c r="E783" t="inlineStr">
        <is>
          <t>Office Supplies</t>
        </is>
      </c>
      <c r="F783" t="inlineStr">
        <is>
          <t>Stapler</t>
        </is>
      </c>
      <c r="G783" t="inlineStr">
        <is>
          <t>Standard Class</t>
        </is>
      </c>
      <c r="H783" t="n">
        <v>4</v>
      </c>
      <c r="I783" s="11" t="n">
        <v>783.35</v>
      </c>
      <c r="J783" s="12" t="n">
        <v>0</v>
      </c>
      <c r="K783" s="11" t="n">
        <v>3133.4</v>
      </c>
      <c r="L783" s="11" t="n">
        <v>1551.59</v>
      </c>
      <c r="M783" s="12" t="n">
        <v>0.4952</v>
      </c>
    </row>
    <row r="784">
      <c r="A784" t="inlineStr">
        <is>
          <t>ORD-11272</t>
        </is>
      </c>
      <c r="B784" s="10" t="inlineStr">
        <is>
          <t>2024-09-29</t>
        </is>
      </c>
      <c r="C784" t="inlineStr">
        <is>
          <t>Customer 175</t>
        </is>
      </c>
      <c r="D784" t="inlineStr">
        <is>
          <t>East</t>
        </is>
      </c>
      <c r="E784" t="inlineStr">
        <is>
          <t>Technology</t>
        </is>
      </c>
      <c r="F784" t="inlineStr">
        <is>
          <t>Monitor</t>
        </is>
      </c>
      <c r="G784" t="inlineStr">
        <is>
          <t>Same Day</t>
        </is>
      </c>
      <c r="H784" t="n">
        <v>5</v>
      </c>
      <c r="I784" s="11" t="n">
        <v>666.62</v>
      </c>
      <c r="J784" s="12" t="n">
        <v>0.3</v>
      </c>
      <c r="K784" s="11" t="n">
        <v>2333.17</v>
      </c>
      <c r="L784" s="11" t="n">
        <v>527.0599999999999</v>
      </c>
      <c r="M784" s="12" t="n">
        <v>0.2259</v>
      </c>
    </row>
    <row r="785">
      <c r="A785" t="inlineStr">
        <is>
          <t>ORD-11692</t>
        </is>
      </c>
      <c r="B785" s="10" t="inlineStr">
        <is>
          <t>2024-09-30</t>
        </is>
      </c>
      <c r="C785" t="inlineStr">
        <is>
          <t>Customer 69</t>
        </is>
      </c>
      <c r="D785" t="inlineStr">
        <is>
          <t>North</t>
        </is>
      </c>
      <c r="E785" t="inlineStr">
        <is>
          <t>Office Supplies</t>
        </is>
      </c>
      <c r="F785" t="inlineStr">
        <is>
          <t>Stapler</t>
        </is>
      </c>
      <c r="G785" t="inlineStr">
        <is>
          <t>First Class</t>
        </is>
      </c>
      <c r="H785" t="n">
        <v>11</v>
      </c>
      <c r="I785" s="11" t="n">
        <v>56.48</v>
      </c>
      <c r="J785" s="12" t="n">
        <v>0.15</v>
      </c>
      <c r="K785" s="11" t="n">
        <v>528.09</v>
      </c>
      <c r="L785" s="11" t="n">
        <v>206.17</v>
      </c>
      <c r="M785" s="12" t="n">
        <v>0.3904</v>
      </c>
    </row>
    <row r="786">
      <c r="A786" t="inlineStr">
        <is>
          <t>ORD-11364</t>
        </is>
      </c>
      <c r="B786" s="10" t="inlineStr">
        <is>
          <t>2024-09-30</t>
        </is>
      </c>
      <c r="C786" t="inlineStr">
        <is>
          <t>Customer 56</t>
        </is>
      </c>
      <c r="D786" t="inlineStr">
        <is>
          <t>North</t>
        </is>
      </c>
      <c r="E786" t="inlineStr">
        <is>
          <t>Technology</t>
        </is>
      </c>
      <c r="F786" t="inlineStr">
        <is>
          <t>Laptop</t>
        </is>
      </c>
      <c r="G786" t="inlineStr">
        <is>
          <t>Standard Class</t>
        </is>
      </c>
      <c r="H786" t="n">
        <v>11</v>
      </c>
      <c r="I786" s="11" t="n">
        <v>849.09</v>
      </c>
      <c r="J786" s="12" t="n">
        <v>0</v>
      </c>
      <c r="K786" s="11" t="n">
        <v>9339.99</v>
      </c>
      <c r="L786" s="11" t="n">
        <v>3464.86</v>
      </c>
      <c r="M786" s="12" t="n">
        <v>0.371</v>
      </c>
    </row>
    <row r="787">
      <c r="A787" t="inlineStr">
        <is>
          <t>ORD-10319</t>
        </is>
      </c>
      <c r="B787" s="10" t="inlineStr">
        <is>
          <t>2024-09-30</t>
        </is>
      </c>
      <c r="C787" t="inlineStr">
        <is>
          <t>Customer 2</t>
        </is>
      </c>
      <c r="D787" t="inlineStr">
        <is>
          <t>West</t>
        </is>
      </c>
      <c r="E787" t="inlineStr">
        <is>
          <t>Technology</t>
        </is>
      </c>
      <c r="F787" t="inlineStr">
        <is>
          <t>Wireless Mouse</t>
        </is>
      </c>
      <c r="G787" t="inlineStr">
        <is>
          <t>Standard Class</t>
        </is>
      </c>
      <c r="H787" t="n">
        <v>4</v>
      </c>
      <c r="I787" s="11" t="n">
        <v>605.5</v>
      </c>
      <c r="J787" s="12" t="n">
        <v>0</v>
      </c>
      <c r="K787" s="11" t="n">
        <v>2422</v>
      </c>
      <c r="L787" s="11" t="n">
        <v>992.83</v>
      </c>
      <c r="M787" s="12" t="n">
        <v>0.4099</v>
      </c>
    </row>
    <row r="788">
      <c r="A788" t="inlineStr">
        <is>
          <t>ORD-11030</t>
        </is>
      </c>
      <c r="B788" s="10" t="inlineStr">
        <is>
          <t>2024-09-30</t>
        </is>
      </c>
      <c r="C788" t="inlineStr">
        <is>
          <t>Customer 25</t>
        </is>
      </c>
      <c r="D788" t="inlineStr">
        <is>
          <t>West</t>
        </is>
      </c>
      <c r="E788" t="inlineStr">
        <is>
          <t>Furniture</t>
        </is>
      </c>
      <c r="F788" t="inlineStr">
        <is>
          <t>Table Lamp</t>
        </is>
      </c>
      <c r="G788" t="inlineStr">
        <is>
          <t>First Class</t>
        </is>
      </c>
      <c r="H788" t="n">
        <v>4</v>
      </c>
      <c r="I788" s="11" t="n">
        <v>395.81</v>
      </c>
      <c r="J788" s="12" t="n">
        <v>0.1</v>
      </c>
      <c r="K788" s="11" t="n">
        <v>1424.92</v>
      </c>
      <c r="L788" s="11" t="n">
        <v>310.9</v>
      </c>
      <c r="M788" s="12" t="n">
        <v>0.2182</v>
      </c>
    </row>
    <row r="789">
      <c r="A789" t="inlineStr">
        <is>
          <t>ORD-10586</t>
        </is>
      </c>
      <c r="B789" s="10" t="inlineStr">
        <is>
          <t>2024-09-30</t>
        </is>
      </c>
      <c r="C789" t="inlineStr">
        <is>
          <t>Customer 55</t>
        </is>
      </c>
      <c r="D789" t="inlineStr">
        <is>
          <t>South</t>
        </is>
      </c>
      <c r="E789" t="inlineStr">
        <is>
          <t>Furniture</t>
        </is>
      </c>
      <c r="F789" t="inlineStr">
        <is>
          <t>Bookcase</t>
        </is>
      </c>
      <c r="G789" t="inlineStr">
        <is>
          <t>First Class</t>
        </is>
      </c>
      <c r="H789" t="n">
        <v>2</v>
      </c>
      <c r="I789" s="11" t="n">
        <v>803.85</v>
      </c>
      <c r="J789" s="12" t="n">
        <v>0.15</v>
      </c>
      <c r="K789" s="11" t="n">
        <v>1366.55</v>
      </c>
      <c r="L789" s="11" t="n">
        <v>66.83</v>
      </c>
      <c r="M789" s="12" t="n">
        <v>0.0489</v>
      </c>
    </row>
    <row r="790">
      <c r="A790" t="inlineStr">
        <is>
          <t>ORD-10499</t>
        </is>
      </c>
      <c r="B790" s="10" t="inlineStr">
        <is>
          <t>2024-09-30</t>
        </is>
      </c>
      <c r="C790" t="inlineStr">
        <is>
          <t>Customer 1</t>
        </is>
      </c>
      <c r="D790" t="inlineStr">
        <is>
          <t>North</t>
        </is>
      </c>
      <c r="E790" t="inlineStr">
        <is>
          <t>Office Supplies</t>
        </is>
      </c>
      <c r="F790" t="inlineStr">
        <is>
          <t>Pens (Box)</t>
        </is>
      </c>
      <c r="G790" t="inlineStr">
        <is>
          <t>Standard Class</t>
        </is>
      </c>
      <c r="H790" t="n">
        <v>4</v>
      </c>
      <c r="I790" s="11" t="n">
        <v>627.3200000000001</v>
      </c>
      <c r="J790" s="12" t="n">
        <v>0</v>
      </c>
      <c r="K790" s="11" t="n">
        <v>2509.28</v>
      </c>
      <c r="L790" s="11" t="n">
        <v>532.92</v>
      </c>
      <c r="M790" s="12" t="n">
        <v>0.2124</v>
      </c>
    </row>
    <row r="791">
      <c r="A791" t="inlineStr">
        <is>
          <t>ORD-10055</t>
        </is>
      </c>
      <c r="B791" s="10" t="inlineStr">
        <is>
          <t>2024-10-01</t>
        </is>
      </c>
      <c r="C791" t="inlineStr">
        <is>
          <t>Customer 26</t>
        </is>
      </c>
      <c r="D791" t="inlineStr">
        <is>
          <t>East</t>
        </is>
      </c>
      <c r="E791" t="inlineStr">
        <is>
          <t>Office Supplies</t>
        </is>
      </c>
      <c r="F791" t="inlineStr">
        <is>
          <t>Binder</t>
        </is>
      </c>
      <c r="G791" t="inlineStr">
        <is>
          <t>First Class</t>
        </is>
      </c>
      <c r="H791" t="n">
        <v>8</v>
      </c>
      <c r="I791" s="11" t="n">
        <v>211.89</v>
      </c>
      <c r="J791" s="12" t="n">
        <v>0</v>
      </c>
      <c r="K791" s="11" t="n">
        <v>1695.12</v>
      </c>
      <c r="L791" s="11" t="n">
        <v>738.67</v>
      </c>
      <c r="M791" s="12" t="n">
        <v>0.4358</v>
      </c>
    </row>
    <row r="792">
      <c r="A792" t="inlineStr">
        <is>
          <t>ORD-10344</t>
        </is>
      </c>
      <c r="B792" s="10" t="inlineStr">
        <is>
          <t>2024-10-02</t>
        </is>
      </c>
      <c r="C792" t="inlineStr">
        <is>
          <t>Customer 13</t>
        </is>
      </c>
      <c r="D792" t="inlineStr">
        <is>
          <t>East</t>
        </is>
      </c>
      <c r="E792" t="inlineStr">
        <is>
          <t>Office Supplies</t>
        </is>
      </c>
      <c r="F792" t="inlineStr">
        <is>
          <t>Stapler</t>
        </is>
      </c>
      <c r="G792" t="inlineStr">
        <is>
          <t>First Class</t>
        </is>
      </c>
      <c r="H792" t="n">
        <v>2</v>
      </c>
      <c r="I792" s="11" t="n">
        <v>992.98</v>
      </c>
      <c r="J792" s="12" t="n">
        <v>0</v>
      </c>
      <c r="K792" s="11" t="n">
        <v>1985.96</v>
      </c>
      <c r="L792" s="11" t="n">
        <v>695.21</v>
      </c>
      <c r="M792" s="12" t="n">
        <v>0.3501</v>
      </c>
    </row>
    <row r="793">
      <c r="A793" t="inlineStr">
        <is>
          <t>ORD-11991</t>
        </is>
      </c>
      <c r="B793" s="10" t="inlineStr">
        <is>
          <t>2024-10-02</t>
        </is>
      </c>
      <c r="C793" t="inlineStr">
        <is>
          <t>Customer 36</t>
        </is>
      </c>
      <c r="D793" t="inlineStr">
        <is>
          <t>North</t>
        </is>
      </c>
      <c r="E793" t="inlineStr">
        <is>
          <t>Office Supplies</t>
        </is>
      </c>
      <c r="F793" t="inlineStr">
        <is>
          <t>Pens (Box)</t>
        </is>
      </c>
      <c r="G793" t="inlineStr">
        <is>
          <t>First Class</t>
        </is>
      </c>
      <c r="H793" t="n">
        <v>11</v>
      </c>
      <c r="I793" s="11" t="n">
        <v>747.75</v>
      </c>
      <c r="J793" s="12" t="n">
        <v>0</v>
      </c>
      <c r="K793" s="11" t="n">
        <v>8225.25</v>
      </c>
      <c r="L793" s="11" t="n">
        <v>1263.59</v>
      </c>
      <c r="M793" s="12" t="n">
        <v>0.1536</v>
      </c>
    </row>
    <row r="794">
      <c r="A794" t="inlineStr">
        <is>
          <t>ORD-10960</t>
        </is>
      </c>
      <c r="B794" s="10" t="inlineStr">
        <is>
          <t>2024-10-03</t>
        </is>
      </c>
      <c r="C794" t="inlineStr">
        <is>
          <t>Customer 81</t>
        </is>
      </c>
      <c r="D794" t="inlineStr">
        <is>
          <t>West</t>
        </is>
      </c>
      <c r="E794" t="inlineStr">
        <is>
          <t>Office Supplies</t>
        </is>
      </c>
      <c r="F794" t="inlineStr">
        <is>
          <t>Stapler</t>
        </is>
      </c>
      <c r="G794" t="inlineStr">
        <is>
          <t>First Class</t>
        </is>
      </c>
      <c r="H794" t="n">
        <v>10</v>
      </c>
      <c r="I794" s="11" t="n">
        <v>515.77</v>
      </c>
      <c r="J794" s="12" t="n">
        <v>0</v>
      </c>
      <c r="K794" s="11" t="n">
        <v>5157.7</v>
      </c>
      <c r="L794" s="11" t="n">
        <v>2306.41</v>
      </c>
      <c r="M794" s="12" t="n">
        <v>0.4472</v>
      </c>
    </row>
    <row r="795">
      <c r="A795" t="inlineStr">
        <is>
          <t>ORD-10034</t>
        </is>
      </c>
      <c r="B795" s="10" t="inlineStr">
        <is>
          <t>2024-10-04</t>
        </is>
      </c>
      <c r="C795" t="inlineStr">
        <is>
          <t>Customer 52</t>
        </is>
      </c>
      <c r="D795" t="inlineStr">
        <is>
          <t>North</t>
        </is>
      </c>
      <c r="E795" t="inlineStr">
        <is>
          <t>Office Supplies</t>
        </is>
      </c>
      <c r="F795" t="inlineStr">
        <is>
          <t>Binder</t>
        </is>
      </c>
      <c r="G795" t="inlineStr">
        <is>
          <t>Same Day</t>
        </is>
      </c>
      <c r="H795" t="n">
        <v>5</v>
      </c>
      <c r="I795" s="11" t="n">
        <v>824.46</v>
      </c>
      <c r="J795" s="12" t="n">
        <v>0</v>
      </c>
      <c r="K795" s="11" t="n">
        <v>4122.3</v>
      </c>
      <c r="L795" s="11" t="n">
        <v>692.13</v>
      </c>
      <c r="M795" s="12" t="n">
        <v>0.1679</v>
      </c>
    </row>
    <row r="796">
      <c r="A796" t="inlineStr">
        <is>
          <t>ORD-11032</t>
        </is>
      </c>
      <c r="B796" s="10" t="inlineStr">
        <is>
          <t>2024-10-04</t>
        </is>
      </c>
      <c r="C796" t="inlineStr">
        <is>
          <t>Customer 163</t>
        </is>
      </c>
      <c r="D796" t="inlineStr">
        <is>
          <t>South</t>
        </is>
      </c>
      <c r="E796" t="inlineStr">
        <is>
          <t>Furniture</t>
        </is>
      </c>
      <c r="F796" t="inlineStr">
        <is>
          <t>Desk</t>
        </is>
      </c>
      <c r="G796" t="inlineStr">
        <is>
          <t>Same Day</t>
        </is>
      </c>
      <c r="H796" t="n">
        <v>10</v>
      </c>
      <c r="I796" s="11" t="n">
        <v>1062.54</v>
      </c>
      <c r="J796" s="12" t="n">
        <v>0.1</v>
      </c>
      <c r="K796" s="11" t="n">
        <v>9562.860000000001</v>
      </c>
      <c r="L796" s="11" t="n">
        <v>2292.94</v>
      </c>
      <c r="M796" s="12" t="n">
        <v>0.2398</v>
      </c>
    </row>
    <row r="797">
      <c r="A797" t="inlineStr">
        <is>
          <t>ORD-10745</t>
        </is>
      </c>
      <c r="B797" s="10" t="inlineStr">
        <is>
          <t>2024-10-05</t>
        </is>
      </c>
      <c r="C797" t="inlineStr">
        <is>
          <t>Customer 108</t>
        </is>
      </c>
      <c r="D797" t="inlineStr">
        <is>
          <t>East</t>
        </is>
      </c>
      <c r="E797" t="inlineStr">
        <is>
          <t>Technology</t>
        </is>
      </c>
      <c r="F797" t="inlineStr">
        <is>
          <t>Wireless Mouse</t>
        </is>
      </c>
      <c r="G797" t="inlineStr">
        <is>
          <t>Standard Class</t>
        </is>
      </c>
      <c r="H797" t="n">
        <v>8</v>
      </c>
      <c r="I797" s="11" t="n">
        <v>759.84</v>
      </c>
      <c r="J797" s="12" t="n">
        <v>0</v>
      </c>
      <c r="K797" s="11" t="n">
        <v>6078.72</v>
      </c>
      <c r="L797" s="11" t="n">
        <v>1213.19</v>
      </c>
      <c r="M797" s="12" t="n">
        <v>0.1996</v>
      </c>
    </row>
    <row r="798">
      <c r="A798" t="inlineStr">
        <is>
          <t>ORD-11545</t>
        </is>
      </c>
      <c r="B798" s="10" t="inlineStr">
        <is>
          <t>2024-10-06</t>
        </is>
      </c>
      <c r="C798" t="inlineStr">
        <is>
          <t>Customer 58</t>
        </is>
      </c>
      <c r="D798" t="inlineStr">
        <is>
          <t>North</t>
        </is>
      </c>
      <c r="E798" t="inlineStr">
        <is>
          <t>Office Supplies</t>
        </is>
      </c>
      <c r="F798" t="inlineStr">
        <is>
          <t>Binder</t>
        </is>
      </c>
      <c r="G798" t="inlineStr">
        <is>
          <t>First Class</t>
        </is>
      </c>
      <c r="H798" t="n">
        <v>8</v>
      </c>
      <c r="I798" s="11" t="n">
        <v>437.81</v>
      </c>
      <c r="J798" s="12" t="n">
        <v>0</v>
      </c>
      <c r="K798" s="11" t="n">
        <v>3502.48</v>
      </c>
      <c r="L798" s="11" t="n">
        <v>1741.6</v>
      </c>
      <c r="M798" s="12" t="n">
        <v>0.4972</v>
      </c>
    </row>
    <row r="799">
      <c r="A799" t="inlineStr">
        <is>
          <t>ORD-11670</t>
        </is>
      </c>
      <c r="B799" s="10" t="inlineStr">
        <is>
          <t>2024-10-06</t>
        </is>
      </c>
      <c r="C799" t="inlineStr">
        <is>
          <t>Customer 190</t>
        </is>
      </c>
      <c r="D799" t="inlineStr">
        <is>
          <t>South</t>
        </is>
      </c>
      <c r="E799" t="inlineStr">
        <is>
          <t>Furniture</t>
        </is>
      </c>
      <c r="F799" t="inlineStr">
        <is>
          <t>Chair</t>
        </is>
      </c>
      <c r="G799" t="inlineStr">
        <is>
          <t>Same Day</t>
        </is>
      </c>
      <c r="H799" t="n">
        <v>1</v>
      </c>
      <c r="I799" s="11" t="n">
        <v>1126.27</v>
      </c>
      <c r="J799" s="12" t="n">
        <v>0</v>
      </c>
      <c r="K799" s="11" t="n">
        <v>1126.27</v>
      </c>
      <c r="L799" s="11" t="n">
        <v>264.84</v>
      </c>
      <c r="M799" s="12" t="n">
        <v>0.2351</v>
      </c>
    </row>
    <row r="800">
      <c r="A800" t="inlineStr">
        <is>
          <t>ORD-11943</t>
        </is>
      </c>
      <c r="B800" s="10" t="inlineStr">
        <is>
          <t>2024-10-06</t>
        </is>
      </c>
      <c r="C800" t="inlineStr">
        <is>
          <t>Customer 142</t>
        </is>
      </c>
      <c r="D800" t="inlineStr">
        <is>
          <t>North</t>
        </is>
      </c>
      <c r="E800" t="inlineStr">
        <is>
          <t>Office Supplies</t>
        </is>
      </c>
      <c r="F800" t="inlineStr">
        <is>
          <t>Paper</t>
        </is>
      </c>
      <c r="G800" t="inlineStr">
        <is>
          <t>Same Day</t>
        </is>
      </c>
      <c r="H800" t="n">
        <v>2</v>
      </c>
      <c r="I800" s="11" t="n">
        <v>154.24</v>
      </c>
      <c r="J800" s="12" t="n">
        <v>0.15</v>
      </c>
      <c r="K800" s="11" t="n">
        <v>262.21</v>
      </c>
      <c r="L800" s="11" t="n">
        <v>36.33</v>
      </c>
      <c r="M800" s="12" t="n">
        <v>0.1386</v>
      </c>
    </row>
    <row r="801">
      <c r="A801" t="inlineStr">
        <is>
          <t>ORD-11821</t>
        </is>
      </c>
      <c r="B801" s="10" t="inlineStr">
        <is>
          <t>2024-10-07</t>
        </is>
      </c>
      <c r="C801" t="inlineStr">
        <is>
          <t>Customer 17</t>
        </is>
      </c>
      <c r="D801" t="inlineStr">
        <is>
          <t>East</t>
        </is>
      </c>
      <c r="E801" t="inlineStr">
        <is>
          <t>Office Supplies</t>
        </is>
      </c>
      <c r="F801" t="inlineStr">
        <is>
          <t>Binder</t>
        </is>
      </c>
      <c r="G801" t="inlineStr">
        <is>
          <t>Standard Class</t>
        </is>
      </c>
      <c r="H801" t="n">
        <v>7</v>
      </c>
      <c r="I801" s="11" t="n">
        <v>172.24</v>
      </c>
      <c r="J801" s="12" t="n">
        <v>0</v>
      </c>
      <c r="K801" s="11" t="n">
        <v>1205.68</v>
      </c>
      <c r="L801" s="11" t="n">
        <v>228.51</v>
      </c>
      <c r="M801" s="12" t="n">
        <v>0.1895</v>
      </c>
    </row>
    <row r="802">
      <c r="A802" t="inlineStr">
        <is>
          <t>ORD-11484</t>
        </is>
      </c>
      <c r="B802" s="10" t="inlineStr">
        <is>
          <t>2024-10-07</t>
        </is>
      </c>
      <c r="C802" t="inlineStr">
        <is>
          <t>Customer 24</t>
        </is>
      </c>
      <c r="D802" t="inlineStr">
        <is>
          <t>West</t>
        </is>
      </c>
      <c r="E802" t="inlineStr">
        <is>
          <t>Furniture</t>
        </is>
      </c>
      <c r="F802" t="inlineStr">
        <is>
          <t>Bookcase</t>
        </is>
      </c>
      <c r="G802" t="inlineStr">
        <is>
          <t>Same Day</t>
        </is>
      </c>
      <c r="H802" t="n">
        <v>6</v>
      </c>
      <c r="I802" s="11" t="n">
        <v>693.5599999999999</v>
      </c>
      <c r="J802" s="12" t="n">
        <v>0</v>
      </c>
      <c r="K802" s="11" t="n">
        <v>4161.36</v>
      </c>
      <c r="L802" s="11" t="n">
        <v>910.4299999999999</v>
      </c>
      <c r="M802" s="12" t="n">
        <v>0.2188</v>
      </c>
    </row>
    <row r="803">
      <c r="A803" t="inlineStr">
        <is>
          <t>ORD-10844</t>
        </is>
      </c>
      <c r="B803" s="10" t="inlineStr">
        <is>
          <t>2024-10-07</t>
        </is>
      </c>
      <c r="C803" t="inlineStr">
        <is>
          <t>Customer 62</t>
        </is>
      </c>
      <c r="D803" t="inlineStr">
        <is>
          <t>East</t>
        </is>
      </c>
      <c r="E803" t="inlineStr">
        <is>
          <t>Technology</t>
        </is>
      </c>
      <c r="F803" t="inlineStr">
        <is>
          <t>Printer</t>
        </is>
      </c>
      <c r="G803" t="inlineStr">
        <is>
          <t>Same Day</t>
        </is>
      </c>
      <c r="H803" t="n">
        <v>6</v>
      </c>
      <c r="I803" s="11" t="n">
        <v>392.59</v>
      </c>
      <c r="J803" s="12" t="n">
        <v>0.1</v>
      </c>
      <c r="K803" s="11" t="n">
        <v>2119.99</v>
      </c>
      <c r="L803" s="11" t="n">
        <v>351.33</v>
      </c>
      <c r="M803" s="12" t="n">
        <v>0.1657</v>
      </c>
    </row>
    <row r="804">
      <c r="A804" t="inlineStr">
        <is>
          <t>ORD-11211</t>
        </is>
      </c>
      <c r="B804" s="10" t="inlineStr">
        <is>
          <t>2024-10-07</t>
        </is>
      </c>
      <c r="C804" t="inlineStr">
        <is>
          <t>Customer 38</t>
        </is>
      </c>
      <c r="D804" t="inlineStr">
        <is>
          <t>South</t>
        </is>
      </c>
      <c r="E804" t="inlineStr">
        <is>
          <t>Office Supplies</t>
        </is>
      </c>
      <c r="F804" t="inlineStr">
        <is>
          <t>Stapler</t>
        </is>
      </c>
      <c r="G804" t="inlineStr">
        <is>
          <t>Standard Class</t>
        </is>
      </c>
      <c r="H804" t="n">
        <v>6</v>
      </c>
      <c r="I804" s="11" t="n">
        <v>598.415</v>
      </c>
      <c r="J804" s="12" t="n">
        <v>0</v>
      </c>
      <c r="K804" s="11" t="n">
        <v>6113.46</v>
      </c>
      <c r="L804" s="11" t="n">
        <v>658.67</v>
      </c>
      <c r="M804" s="12" t="n">
        <v>0.1077</v>
      </c>
    </row>
    <row r="805">
      <c r="A805" t="inlineStr">
        <is>
          <t>ORD-10063</t>
        </is>
      </c>
      <c r="B805" s="10" t="inlineStr">
        <is>
          <t>2024-10-07</t>
        </is>
      </c>
      <c r="C805" t="inlineStr">
        <is>
          <t>Customer 52</t>
        </is>
      </c>
      <c r="D805" t="inlineStr">
        <is>
          <t>North</t>
        </is>
      </c>
      <c r="E805" t="inlineStr">
        <is>
          <t>Technology</t>
        </is>
      </c>
      <c r="F805" t="inlineStr">
        <is>
          <t>Printer</t>
        </is>
      </c>
      <c r="G805" t="inlineStr">
        <is>
          <t>Standard Class</t>
        </is>
      </c>
      <c r="H805" t="n">
        <v>6</v>
      </c>
      <c r="I805" s="11" t="n">
        <v>960.85</v>
      </c>
      <c r="J805" s="12" t="n">
        <v>0</v>
      </c>
      <c r="K805" s="11" t="n">
        <v>5765.1</v>
      </c>
      <c r="L805" s="11" t="n">
        <v>1192.89</v>
      </c>
      <c r="M805" s="12" t="n">
        <v>0.2069</v>
      </c>
    </row>
    <row r="806">
      <c r="A806" t="inlineStr">
        <is>
          <t>ORD-10172</t>
        </is>
      </c>
      <c r="B806" s="10" t="inlineStr">
        <is>
          <t>2024-10-08</t>
        </is>
      </c>
      <c r="C806" t="inlineStr">
        <is>
          <t>Customer 55</t>
        </is>
      </c>
      <c r="D806" t="inlineStr">
        <is>
          <t>South</t>
        </is>
      </c>
      <c r="E806" t="inlineStr">
        <is>
          <t>Technology</t>
        </is>
      </c>
      <c r="F806" t="inlineStr">
        <is>
          <t>Printer</t>
        </is>
      </c>
      <c r="G806" t="inlineStr">
        <is>
          <t>First Class</t>
        </is>
      </c>
      <c r="H806" t="n">
        <v>2</v>
      </c>
      <c r="I806" s="11" t="n">
        <v>328.48</v>
      </c>
      <c r="J806" s="12" t="n">
        <v>0</v>
      </c>
      <c r="K806" s="11" t="n">
        <v>656.96</v>
      </c>
      <c r="L806" s="11" t="n">
        <v>256.11</v>
      </c>
      <c r="M806" s="12" t="n">
        <v>0.3898</v>
      </c>
    </row>
    <row r="807">
      <c r="A807" t="inlineStr">
        <is>
          <t>ORD-11110</t>
        </is>
      </c>
      <c r="B807" s="10" t="inlineStr">
        <is>
          <t>2024-10-09</t>
        </is>
      </c>
      <c r="C807" t="inlineStr">
        <is>
          <t>Customer 192</t>
        </is>
      </c>
      <c r="D807" t="inlineStr">
        <is>
          <t>East</t>
        </is>
      </c>
      <c r="E807" t="inlineStr">
        <is>
          <t>Furniture</t>
        </is>
      </c>
      <c r="F807" t="inlineStr">
        <is>
          <t>Desk</t>
        </is>
      </c>
      <c r="G807" t="inlineStr">
        <is>
          <t>Second Class</t>
        </is>
      </c>
      <c r="H807" t="n">
        <v>3</v>
      </c>
      <c r="I807" s="11" t="n">
        <v>339.65</v>
      </c>
      <c r="J807" s="12" t="n">
        <v>0</v>
      </c>
      <c r="K807" s="11" t="n">
        <v>1018.95</v>
      </c>
      <c r="L807" s="11" t="n">
        <v>289.07</v>
      </c>
      <c r="M807" s="12" t="n">
        <v>0.2837</v>
      </c>
    </row>
    <row r="808">
      <c r="A808" t="inlineStr">
        <is>
          <t>ORD-10537</t>
        </is>
      </c>
      <c r="B808" s="10" t="inlineStr">
        <is>
          <t>2024-10-10</t>
        </is>
      </c>
      <c r="C808" t="inlineStr">
        <is>
          <t>Customer 125</t>
        </is>
      </c>
      <c r="D808" t="inlineStr">
        <is>
          <t>West</t>
        </is>
      </c>
      <c r="E808" t="inlineStr">
        <is>
          <t>Office Supplies</t>
        </is>
      </c>
      <c r="F808" t="inlineStr">
        <is>
          <t>Pens (Box)</t>
        </is>
      </c>
      <c r="G808" t="inlineStr">
        <is>
          <t>Second Class</t>
        </is>
      </c>
      <c r="H808" t="n">
        <v>9</v>
      </c>
      <c r="I808" s="11" t="n">
        <v>471.58</v>
      </c>
      <c r="J808" s="12" t="n">
        <v>0</v>
      </c>
      <c r="K808" s="11" t="n">
        <v>4244.22</v>
      </c>
      <c r="L808" s="11" t="n">
        <v>964.39</v>
      </c>
      <c r="M808" s="12" t="n">
        <v>0.2272</v>
      </c>
    </row>
    <row r="809">
      <c r="A809" t="inlineStr">
        <is>
          <t>ORD-11347</t>
        </is>
      </c>
      <c r="B809" s="10" t="inlineStr">
        <is>
          <t>2024-10-11</t>
        </is>
      </c>
      <c r="C809" t="inlineStr">
        <is>
          <t>Customer 92</t>
        </is>
      </c>
      <c r="D809" t="inlineStr">
        <is>
          <t>West</t>
        </is>
      </c>
      <c r="E809" t="inlineStr">
        <is>
          <t>Office Supplies</t>
        </is>
      </c>
      <c r="F809" t="inlineStr">
        <is>
          <t>Binder</t>
        </is>
      </c>
      <c r="G809" t="inlineStr">
        <is>
          <t>First Class</t>
        </is>
      </c>
      <c r="H809" t="n">
        <v>5</v>
      </c>
      <c r="I809" s="11" t="n">
        <v>184.18</v>
      </c>
      <c r="J809" s="12" t="n">
        <v>0</v>
      </c>
      <c r="K809" s="11" t="n">
        <v>920.9</v>
      </c>
      <c r="L809" s="11" t="n">
        <v>267.87</v>
      </c>
      <c r="M809" s="12" t="n">
        <v>0.2909</v>
      </c>
    </row>
    <row r="810">
      <c r="A810" t="inlineStr">
        <is>
          <t>ORD-11860</t>
        </is>
      </c>
      <c r="B810" s="10" t="inlineStr">
        <is>
          <t>2024-10-11</t>
        </is>
      </c>
      <c r="C810" t="inlineStr">
        <is>
          <t>Customer 187</t>
        </is>
      </c>
      <c r="D810" t="inlineStr">
        <is>
          <t>North</t>
        </is>
      </c>
      <c r="E810" t="inlineStr">
        <is>
          <t>Technology</t>
        </is>
      </c>
      <c r="F810" t="inlineStr">
        <is>
          <t>Printer</t>
        </is>
      </c>
      <c r="G810" t="inlineStr">
        <is>
          <t>Standard Class</t>
        </is>
      </c>
      <c r="H810" t="n">
        <v>11</v>
      </c>
      <c r="I810" s="11" t="n">
        <v>19.92</v>
      </c>
      <c r="J810" s="12" t="n">
        <v>0</v>
      </c>
      <c r="K810" s="11" t="n">
        <v>219.12</v>
      </c>
      <c r="L810" s="11" t="n">
        <v>98.25</v>
      </c>
      <c r="M810" s="12" t="n">
        <v>0.4484</v>
      </c>
    </row>
    <row r="811">
      <c r="A811" t="inlineStr">
        <is>
          <t>ORD-11020</t>
        </is>
      </c>
      <c r="B811" s="10" t="inlineStr">
        <is>
          <t>2024-10-11</t>
        </is>
      </c>
      <c r="C811" t="inlineStr">
        <is>
          <t>Customer 171</t>
        </is>
      </c>
      <c r="D811" t="inlineStr">
        <is>
          <t>North</t>
        </is>
      </c>
      <c r="E811" t="inlineStr">
        <is>
          <t>Furniture</t>
        </is>
      </c>
      <c r="F811" t="inlineStr">
        <is>
          <t>Desk</t>
        </is>
      </c>
      <c r="G811" t="inlineStr">
        <is>
          <t>First Class</t>
        </is>
      </c>
      <c r="H811" t="n">
        <v>1</v>
      </c>
      <c r="I811" s="11" t="n">
        <v>46.31</v>
      </c>
      <c r="J811" s="12" t="n">
        <v>0</v>
      </c>
      <c r="K811" s="11" t="n">
        <v>46.31</v>
      </c>
      <c r="L811" s="11" t="n">
        <v>10.97</v>
      </c>
      <c r="M811" s="12" t="n">
        <v>0.2369</v>
      </c>
    </row>
    <row r="812">
      <c r="A812" t="inlineStr">
        <is>
          <t>ORD-10395</t>
        </is>
      </c>
      <c r="B812" s="10" t="inlineStr">
        <is>
          <t>2024-10-12</t>
        </is>
      </c>
      <c r="C812" t="inlineStr">
        <is>
          <t>Customer 57</t>
        </is>
      </c>
      <c r="D812" t="inlineStr">
        <is>
          <t>East</t>
        </is>
      </c>
      <c r="E812" t="inlineStr">
        <is>
          <t>Technology</t>
        </is>
      </c>
      <c r="F812" t="inlineStr">
        <is>
          <t>Wireless Mouse</t>
        </is>
      </c>
      <c r="G812" t="inlineStr">
        <is>
          <t>First Class</t>
        </is>
      </c>
      <c r="H812" t="n">
        <v>5</v>
      </c>
      <c r="I812" s="11" t="n">
        <v>298.95</v>
      </c>
      <c r="J812" s="12" t="n">
        <v>0</v>
      </c>
      <c r="K812" s="11" t="n">
        <v>1494.75</v>
      </c>
      <c r="L812" s="11" t="n">
        <v>325.8</v>
      </c>
      <c r="M812" s="12" t="n">
        <v>0.218</v>
      </c>
    </row>
    <row r="813">
      <c r="A813" t="inlineStr">
        <is>
          <t>ORD-11850</t>
        </is>
      </c>
      <c r="B813" s="10" t="inlineStr">
        <is>
          <t>2024-10-12</t>
        </is>
      </c>
      <c r="C813" t="inlineStr">
        <is>
          <t>Customer 183</t>
        </is>
      </c>
      <c r="D813" t="inlineStr">
        <is>
          <t>South</t>
        </is>
      </c>
      <c r="E813" t="inlineStr">
        <is>
          <t>Technology</t>
        </is>
      </c>
      <c r="F813" t="inlineStr">
        <is>
          <t>Monitor</t>
        </is>
      </c>
      <c r="G813" t="inlineStr">
        <is>
          <t>Same Day</t>
        </is>
      </c>
      <c r="H813" t="n">
        <v>7</v>
      </c>
      <c r="I813" s="11" t="n">
        <v>860.3200000000001</v>
      </c>
      <c r="J813" s="12" t="n">
        <v>0</v>
      </c>
      <c r="K813" s="11" t="n">
        <v>6022.24</v>
      </c>
      <c r="L813" s="11" t="n">
        <v>1014.18</v>
      </c>
      <c r="M813" s="12" t="n">
        <v>0.1684</v>
      </c>
    </row>
    <row r="814">
      <c r="A814" t="inlineStr">
        <is>
          <t>ORD-10951</t>
        </is>
      </c>
      <c r="B814" s="10" t="inlineStr">
        <is>
          <t>2024-10-12</t>
        </is>
      </c>
      <c r="C814" t="inlineStr">
        <is>
          <t>Customer 18</t>
        </is>
      </c>
      <c r="D814" t="inlineStr">
        <is>
          <t>North</t>
        </is>
      </c>
      <c r="E814" t="inlineStr">
        <is>
          <t>Office Supplies</t>
        </is>
      </c>
      <c r="F814" t="inlineStr">
        <is>
          <t>Stapler</t>
        </is>
      </c>
      <c r="G814" t="inlineStr">
        <is>
          <t>First Class</t>
        </is>
      </c>
      <c r="H814" t="n">
        <v>3</v>
      </c>
      <c r="I814" s="11" t="n">
        <v>789.42</v>
      </c>
      <c r="J814" s="12" t="n">
        <v>0.1</v>
      </c>
      <c r="K814" s="11" t="n">
        <v>2131.43</v>
      </c>
      <c r="L814" s="11" t="n">
        <v>898.12</v>
      </c>
      <c r="M814" s="12" t="n">
        <v>0.4214</v>
      </c>
    </row>
    <row r="815">
      <c r="A815" t="inlineStr">
        <is>
          <t>ORD-10075</t>
        </is>
      </c>
      <c r="B815" s="10" t="inlineStr">
        <is>
          <t>2024-10-12</t>
        </is>
      </c>
      <c r="C815" t="inlineStr">
        <is>
          <t>Customer 51</t>
        </is>
      </c>
      <c r="D815" t="inlineStr">
        <is>
          <t>West</t>
        </is>
      </c>
      <c r="E815" t="inlineStr">
        <is>
          <t>Technology</t>
        </is>
      </c>
      <c r="F815" t="inlineStr">
        <is>
          <t>Printer</t>
        </is>
      </c>
      <c r="G815" t="inlineStr">
        <is>
          <t>Standard Class</t>
        </is>
      </c>
      <c r="H815" t="n">
        <v>2</v>
      </c>
      <c r="I815" s="11" t="n">
        <v>481.27</v>
      </c>
      <c r="J815" s="12" t="n">
        <v>0.2</v>
      </c>
      <c r="K815" s="11" t="n">
        <v>770.03</v>
      </c>
      <c r="L815" s="11" t="n">
        <v>76.23999999999999</v>
      </c>
      <c r="M815" s="12" t="n">
        <v>0.099</v>
      </c>
    </row>
    <row r="816">
      <c r="A816" t="inlineStr">
        <is>
          <t>ORD-11908</t>
        </is>
      </c>
      <c r="B816" s="10" t="inlineStr">
        <is>
          <t>2024-10-12</t>
        </is>
      </c>
      <c r="C816" t="inlineStr">
        <is>
          <t>Customer 89</t>
        </is>
      </c>
      <c r="D816" t="inlineStr">
        <is>
          <t>West</t>
        </is>
      </c>
      <c r="E816" t="inlineStr">
        <is>
          <t>Furniture</t>
        </is>
      </c>
      <c r="F816" t="inlineStr">
        <is>
          <t>Desk</t>
        </is>
      </c>
      <c r="G816" t="inlineStr">
        <is>
          <t>Standard Class</t>
        </is>
      </c>
      <c r="H816" t="n">
        <v>5</v>
      </c>
      <c r="I816" s="11" t="n">
        <v>281.54</v>
      </c>
      <c r="J816" s="12" t="n">
        <v>0</v>
      </c>
      <c r="K816" s="11" t="n">
        <v>1407.7</v>
      </c>
      <c r="L816" s="11" t="n">
        <v>341.17</v>
      </c>
      <c r="M816" s="12" t="n">
        <v>0.2424</v>
      </c>
    </row>
    <row r="817">
      <c r="A817" t="inlineStr">
        <is>
          <t>ORD-10047</t>
        </is>
      </c>
      <c r="B817" s="10" t="inlineStr">
        <is>
          <t>2024-10-12</t>
        </is>
      </c>
      <c r="C817" t="inlineStr">
        <is>
          <t>Customer 168</t>
        </is>
      </c>
      <c r="D817" t="inlineStr">
        <is>
          <t>North</t>
        </is>
      </c>
      <c r="E817" t="inlineStr">
        <is>
          <t>Technology</t>
        </is>
      </c>
      <c r="F817" t="inlineStr">
        <is>
          <t>Laptop</t>
        </is>
      </c>
      <c r="G817" t="inlineStr">
        <is>
          <t>Standard Class</t>
        </is>
      </c>
      <c r="H817" t="n">
        <v>4</v>
      </c>
      <c r="I817" s="11" t="n">
        <v>1102.54</v>
      </c>
      <c r="J817" s="12" t="n">
        <v>0.1</v>
      </c>
      <c r="K817" s="11" t="n">
        <v>3969.14</v>
      </c>
      <c r="L817" s="11" t="n">
        <v>1593.36</v>
      </c>
      <c r="M817" s="12" t="n">
        <v>0.4014</v>
      </c>
    </row>
    <row r="818">
      <c r="A818" t="inlineStr">
        <is>
          <t>ORD-11451</t>
        </is>
      </c>
      <c r="B818" s="10" t="inlineStr">
        <is>
          <t>2024-10-12</t>
        </is>
      </c>
      <c r="C818" t="inlineStr">
        <is>
          <t>Customer 133</t>
        </is>
      </c>
      <c r="D818" t="inlineStr">
        <is>
          <t>North</t>
        </is>
      </c>
      <c r="E818" t="inlineStr">
        <is>
          <t>Technology</t>
        </is>
      </c>
      <c r="F818" t="inlineStr">
        <is>
          <t>Laptop</t>
        </is>
      </c>
      <c r="G818" t="inlineStr">
        <is>
          <t>Standard Class</t>
        </is>
      </c>
      <c r="H818" t="n">
        <v>6</v>
      </c>
      <c r="I818" s="11" t="n">
        <v>104</v>
      </c>
      <c r="J818" s="12" t="n">
        <v>0.15</v>
      </c>
      <c r="K818" s="11" t="n">
        <v>530.4</v>
      </c>
      <c r="L818" s="11" t="n">
        <v>161.11</v>
      </c>
      <c r="M818" s="12" t="n">
        <v>0.3038</v>
      </c>
    </row>
    <row r="819">
      <c r="A819" t="inlineStr">
        <is>
          <t>ORD-11916</t>
        </is>
      </c>
      <c r="B819" s="10" t="inlineStr">
        <is>
          <t>2024-10-12</t>
        </is>
      </c>
      <c r="C819" t="inlineStr">
        <is>
          <t>Customer 41</t>
        </is>
      </c>
      <c r="D819" t="inlineStr">
        <is>
          <t>North</t>
        </is>
      </c>
      <c r="E819" t="inlineStr">
        <is>
          <t>Technology</t>
        </is>
      </c>
      <c r="F819" t="inlineStr">
        <is>
          <t>Laptop</t>
        </is>
      </c>
      <c r="G819" t="inlineStr">
        <is>
          <t>First Class</t>
        </is>
      </c>
      <c r="H819" t="n">
        <v>8</v>
      </c>
      <c r="I819" s="11" t="n">
        <v>643.3099999999999</v>
      </c>
      <c r="J819" s="12" t="n">
        <v>0</v>
      </c>
      <c r="K819" s="11" t="n">
        <v>5146.48</v>
      </c>
      <c r="L819" s="11" t="n">
        <v>1441.03</v>
      </c>
      <c r="M819" s="12" t="n">
        <v>0.28</v>
      </c>
    </row>
    <row r="820">
      <c r="A820" t="inlineStr">
        <is>
          <t>ORD-10703</t>
        </is>
      </c>
      <c r="B820" s="10" t="inlineStr">
        <is>
          <t>2024-10-12</t>
        </is>
      </c>
      <c r="C820" t="inlineStr">
        <is>
          <t>Customer 195</t>
        </is>
      </c>
      <c r="D820" t="inlineStr">
        <is>
          <t>West</t>
        </is>
      </c>
      <c r="E820" t="inlineStr">
        <is>
          <t>Furniture</t>
        </is>
      </c>
      <c r="F820" t="inlineStr">
        <is>
          <t>Desk</t>
        </is>
      </c>
      <c r="G820" t="inlineStr">
        <is>
          <t>First Class</t>
        </is>
      </c>
      <c r="H820" t="n">
        <v>7</v>
      </c>
      <c r="I820" s="11" t="n">
        <v>493.18</v>
      </c>
      <c r="J820" s="12" t="n">
        <v>0.15</v>
      </c>
      <c r="K820" s="11" t="n">
        <v>2934.42</v>
      </c>
      <c r="L820" s="11" t="n">
        <v>797.05</v>
      </c>
      <c r="M820" s="12" t="n">
        <v>0.2716</v>
      </c>
    </row>
    <row r="821">
      <c r="A821" t="inlineStr">
        <is>
          <t>ORD-10318</t>
        </is>
      </c>
      <c r="B821" s="10" t="inlineStr">
        <is>
          <t>2024-10-13</t>
        </is>
      </c>
      <c r="C821" t="inlineStr">
        <is>
          <t>Customer 66</t>
        </is>
      </c>
      <c r="D821" t="inlineStr">
        <is>
          <t>South</t>
        </is>
      </c>
      <c r="E821" t="inlineStr">
        <is>
          <t>Technology</t>
        </is>
      </c>
      <c r="F821" t="inlineStr">
        <is>
          <t>Monitor</t>
        </is>
      </c>
      <c r="G821" t="inlineStr">
        <is>
          <t>Same Day</t>
        </is>
      </c>
      <c r="H821" t="n">
        <v>11</v>
      </c>
      <c r="I821" s="11" t="n">
        <v>513</v>
      </c>
      <c r="J821" s="12" t="n">
        <v>0.15</v>
      </c>
      <c r="K821" s="11" t="n">
        <v>4796.55</v>
      </c>
      <c r="L821" s="11" t="n">
        <v>1441.11</v>
      </c>
      <c r="M821" s="12" t="n">
        <v>0.3004</v>
      </c>
    </row>
    <row r="822">
      <c r="A822" t="inlineStr">
        <is>
          <t>ORD-11019</t>
        </is>
      </c>
      <c r="B822" s="10" t="inlineStr">
        <is>
          <t>2024-10-13</t>
        </is>
      </c>
      <c r="C822" t="inlineStr">
        <is>
          <t>Customer 200</t>
        </is>
      </c>
      <c r="D822" t="inlineStr">
        <is>
          <t>West</t>
        </is>
      </c>
      <c r="E822" t="inlineStr">
        <is>
          <t>Office Supplies</t>
        </is>
      </c>
      <c r="F822" t="inlineStr">
        <is>
          <t>Stapler</t>
        </is>
      </c>
      <c r="G822" t="inlineStr">
        <is>
          <t>Standard Class</t>
        </is>
      </c>
      <c r="H822" t="n">
        <v>7</v>
      </c>
      <c r="I822" s="11" t="n">
        <v>542.1</v>
      </c>
      <c r="J822" s="12" t="n">
        <v>0</v>
      </c>
      <c r="K822" s="11" t="n">
        <v>3794.7</v>
      </c>
      <c r="L822" s="11" t="n">
        <v>1393.94</v>
      </c>
      <c r="M822" s="12" t="n">
        <v>0.3673</v>
      </c>
    </row>
    <row r="823">
      <c r="A823" t="inlineStr">
        <is>
          <t>ORD-10140</t>
        </is>
      </c>
      <c r="B823" s="10" t="inlineStr">
        <is>
          <t>2024-10-13</t>
        </is>
      </c>
      <c r="C823" t="inlineStr">
        <is>
          <t>Customer 71</t>
        </is>
      </c>
      <c r="D823" t="inlineStr">
        <is>
          <t>West</t>
        </is>
      </c>
      <c r="E823" t="inlineStr">
        <is>
          <t>Office Supplies</t>
        </is>
      </c>
      <c r="F823" t="inlineStr">
        <is>
          <t>Stapler</t>
        </is>
      </c>
      <c r="G823" t="inlineStr">
        <is>
          <t>Second Class</t>
        </is>
      </c>
      <c r="H823" t="n">
        <v>6</v>
      </c>
      <c r="I823" s="11" t="n">
        <v>1106.61</v>
      </c>
      <c r="J823" s="12" t="n">
        <v>0</v>
      </c>
      <c r="K823" s="11" t="n">
        <v>6639.66</v>
      </c>
      <c r="L823" s="11" t="n">
        <v>1632.27</v>
      </c>
      <c r="M823" s="12" t="n">
        <v>0.2458</v>
      </c>
    </row>
    <row r="824">
      <c r="A824" t="inlineStr">
        <is>
          <t>ORD-10450</t>
        </is>
      </c>
      <c r="B824" s="10" t="inlineStr">
        <is>
          <t>2024-10-14</t>
        </is>
      </c>
      <c r="C824" t="inlineStr">
        <is>
          <t>Customer 139</t>
        </is>
      </c>
      <c r="D824" t="inlineStr">
        <is>
          <t>South</t>
        </is>
      </c>
      <c r="E824" t="inlineStr">
        <is>
          <t>Technology</t>
        </is>
      </c>
      <c r="F824" t="inlineStr">
        <is>
          <t>Laptop</t>
        </is>
      </c>
      <c r="G824" t="inlineStr">
        <is>
          <t>Second Class</t>
        </is>
      </c>
      <c r="H824" t="n">
        <v>5</v>
      </c>
      <c r="I824" s="11" t="n">
        <v>892.09</v>
      </c>
      <c r="J824" s="12" t="n">
        <v>0</v>
      </c>
      <c r="K824" s="11" t="n">
        <v>4460.45</v>
      </c>
      <c r="L824" s="11" t="n">
        <v>1339.22</v>
      </c>
      <c r="M824" s="12" t="n">
        <v>0.3002</v>
      </c>
    </row>
    <row r="825">
      <c r="A825" t="inlineStr">
        <is>
          <t>ORD-10394</t>
        </is>
      </c>
      <c r="B825" s="10" t="inlineStr">
        <is>
          <t>2024-10-14</t>
        </is>
      </c>
      <c r="C825" t="inlineStr">
        <is>
          <t>Customer 119</t>
        </is>
      </c>
      <c r="D825" t="inlineStr">
        <is>
          <t>North</t>
        </is>
      </c>
      <c r="E825" t="inlineStr">
        <is>
          <t>Office Supplies</t>
        </is>
      </c>
      <c r="F825" t="inlineStr">
        <is>
          <t>Pens (Box)</t>
        </is>
      </c>
      <c r="G825" t="inlineStr">
        <is>
          <t>Same Day</t>
        </is>
      </c>
      <c r="H825" t="n">
        <v>3</v>
      </c>
      <c r="I825" s="11" t="n">
        <v>680.73</v>
      </c>
      <c r="J825" s="12" t="n">
        <v>0</v>
      </c>
      <c r="K825" s="11" t="n">
        <v>2042.19</v>
      </c>
      <c r="L825" s="11" t="n">
        <v>859.72</v>
      </c>
      <c r="M825" s="12" t="n">
        <v>0.421</v>
      </c>
    </row>
    <row r="826">
      <c r="A826" t="inlineStr">
        <is>
          <t>ORD-10393</t>
        </is>
      </c>
      <c r="B826" s="10" t="inlineStr">
        <is>
          <t>2024-10-14</t>
        </is>
      </c>
      <c r="C826" t="inlineStr">
        <is>
          <t>Customer 116</t>
        </is>
      </c>
      <c r="D826" t="inlineStr">
        <is>
          <t>East</t>
        </is>
      </c>
      <c r="E826" t="inlineStr">
        <is>
          <t>Technology</t>
        </is>
      </c>
      <c r="F826" t="inlineStr">
        <is>
          <t>Laptop</t>
        </is>
      </c>
      <c r="G826" t="inlineStr">
        <is>
          <t>Standard Class</t>
        </is>
      </c>
      <c r="H826" t="n">
        <v>10</v>
      </c>
      <c r="I826" s="11" t="n">
        <v>1191.75</v>
      </c>
      <c r="J826" s="12" t="n">
        <v>0</v>
      </c>
      <c r="K826" s="11" t="n">
        <v>11917.5</v>
      </c>
      <c r="L826" s="11" t="n">
        <v>2563.81</v>
      </c>
      <c r="M826" s="12" t="n">
        <v>0.2151</v>
      </c>
    </row>
    <row r="827">
      <c r="A827" t="inlineStr">
        <is>
          <t>ORD-11608</t>
        </is>
      </c>
      <c r="B827" s="10" t="inlineStr">
        <is>
          <t>2024-10-14</t>
        </is>
      </c>
      <c r="C827" t="inlineStr">
        <is>
          <t>Customer 8</t>
        </is>
      </c>
      <c r="D827" t="inlineStr">
        <is>
          <t>East</t>
        </is>
      </c>
      <c r="E827" t="inlineStr">
        <is>
          <t>Furniture</t>
        </is>
      </c>
      <c r="F827" t="inlineStr">
        <is>
          <t>Bookcase</t>
        </is>
      </c>
      <c r="G827" t="inlineStr">
        <is>
          <t>Standard Class</t>
        </is>
      </c>
      <c r="H827" t="n">
        <v>1</v>
      </c>
      <c r="I827" s="11" t="n">
        <v>669.88</v>
      </c>
      <c r="J827" s="12" t="n">
        <v>0</v>
      </c>
      <c r="K827" s="11" t="n">
        <v>669.88</v>
      </c>
      <c r="L827" s="11" t="n">
        <v>118.13</v>
      </c>
      <c r="M827" s="12" t="n">
        <v>0.1763</v>
      </c>
    </row>
    <row r="828">
      <c r="A828" t="inlineStr">
        <is>
          <t>ORD-11204</t>
        </is>
      </c>
      <c r="B828" s="10" t="inlineStr">
        <is>
          <t>2024-10-14</t>
        </is>
      </c>
      <c r="C828" t="inlineStr">
        <is>
          <t>Customer 6</t>
        </is>
      </c>
      <c r="D828" t="inlineStr">
        <is>
          <t>West</t>
        </is>
      </c>
      <c r="E828" t="inlineStr">
        <is>
          <t>Technology</t>
        </is>
      </c>
      <c r="F828" t="inlineStr">
        <is>
          <t>Printer</t>
        </is>
      </c>
      <c r="G828" t="inlineStr">
        <is>
          <t>Standard Class</t>
        </is>
      </c>
      <c r="H828" t="n">
        <v>8</v>
      </c>
      <c r="I828" s="11" t="n">
        <v>977.33</v>
      </c>
      <c r="J828" s="12" t="n">
        <v>0</v>
      </c>
      <c r="K828" s="11" t="n">
        <v>7818.64</v>
      </c>
      <c r="L828" s="11" t="n">
        <v>1595.47</v>
      </c>
      <c r="M828" s="12" t="n">
        <v>0.2041</v>
      </c>
    </row>
    <row r="829">
      <c r="A829" t="inlineStr">
        <is>
          <t>ORD-10161</t>
        </is>
      </c>
      <c r="B829" s="10" t="inlineStr">
        <is>
          <t>2024-10-15</t>
        </is>
      </c>
      <c r="C829" t="inlineStr">
        <is>
          <t>Customer 79</t>
        </is>
      </c>
      <c r="D829" t="inlineStr">
        <is>
          <t>East</t>
        </is>
      </c>
      <c r="E829" t="inlineStr">
        <is>
          <t>Technology</t>
        </is>
      </c>
      <c r="F829" t="inlineStr">
        <is>
          <t>Monitor</t>
        </is>
      </c>
      <c r="G829" t="inlineStr">
        <is>
          <t>Standard Class</t>
        </is>
      </c>
      <c r="H829" t="n">
        <v>9</v>
      </c>
      <c r="I829" s="11" t="n">
        <v>999.38</v>
      </c>
      <c r="J829" s="12" t="n">
        <v>0.15</v>
      </c>
      <c r="K829" s="11" t="n">
        <v>7645.26</v>
      </c>
      <c r="L829" s="11" t="n">
        <v>1836.37</v>
      </c>
      <c r="M829" s="12" t="n">
        <v>0.2402</v>
      </c>
    </row>
    <row r="830">
      <c r="A830" t="inlineStr">
        <is>
          <t>ORD-10269</t>
        </is>
      </c>
      <c r="B830" s="10" t="inlineStr">
        <is>
          <t>2024-10-15</t>
        </is>
      </c>
      <c r="C830" t="inlineStr">
        <is>
          <t>Customer 132</t>
        </is>
      </c>
      <c r="D830" t="inlineStr">
        <is>
          <t>East</t>
        </is>
      </c>
      <c r="E830" t="inlineStr">
        <is>
          <t>Furniture</t>
        </is>
      </c>
      <c r="F830" t="inlineStr">
        <is>
          <t>Chair</t>
        </is>
      </c>
      <c r="G830" t="inlineStr">
        <is>
          <t>Second Class</t>
        </is>
      </c>
      <c r="H830" t="n">
        <v>11</v>
      </c>
      <c r="I830" s="11" t="n">
        <v>205</v>
      </c>
      <c r="J830" s="12" t="n">
        <v>0</v>
      </c>
      <c r="K830" s="11" t="n">
        <v>2255</v>
      </c>
      <c r="L830" s="11" t="n">
        <v>870.02</v>
      </c>
      <c r="M830" s="12" t="n">
        <v>0.3858</v>
      </c>
    </row>
    <row r="831">
      <c r="A831" t="inlineStr">
        <is>
          <t>ORD-11345</t>
        </is>
      </c>
      <c r="B831" s="10" t="inlineStr">
        <is>
          <t>2024-10-15</t>
        </is>
      </c>
      <c r="C831" t="inlineStr">
        <is>
          <t>Customer 104</t>
        </is>
      </c>
      <c r="D831" t="inlineStr">
        <is>
          <t>North</t>
        </is>
      </c>
      <c r="E831" t="inlineStr">
        <is>
          <t>Technology</t>
        </is>
      </c>
      <c r="F831" t="inlineStr">
        <is>
          <t>Monitor</t>
        </is>
      </c>
      <c r="G831" t="inlineStr">
        <is>
          <t>Second Class</t>
        </is>
      </c>
      <c r="H831" t="n">
        <v>9</v>
      </c>
      <c r="I831" s="11" t="n">
        <v>213.15</v>
      </c>
      <c r="J831" s="12" t="n">
        <v>0.1</v>
      </c>
      <c r="K831" s="11" t="n">
        <v>1726.52</v>
      </c>
      <c r="L831" s="11" t="n">
        <v>647.13</v>
      </c>
      <c r="M831" s="12" t="n">
        <v>0.3748</v>
      </c>
    </row>
    <row r="832">
      <c r="A832" t="inlineStr">
        <is>
          <t>ORD-11534</t>
        </is>
      </c>
      <c r="B832" s="10" t="inlineStr">
        <is>
          <t>2024-10-16</t>
        </is>
      </c>
      <c r="C832" t="inlineStr">
        <is>
          <t>Customer 4</t>
        </is>
      </c>
      <c r="D832" t="inlineStr">
        <is>
          <t>South</t>
        </is>
      </c>
      <c r="E832" t="inlineStr">
        <is>
          <t>Technology</t>
        </is>
      </c>
      <c r="F832" t="inlineStr">
        <is>
          <t>Wireless Mouse</t>
        </is>
      </c>
      <c r="G832" t="inlineStr">
        <is>
          <t>First Class</t>
        </is>
      </c>
      <c r="H832" t="n">
        <v>2</v>
      </c>
      <c r="I832" s="11" t="n">
        <v>1152.32</v>
      </c>
      <c r="J832" s="12" t="n">
        <v>0</v>
      </c>
      <c r="K832" s="11" t="n">
        <v>2304.64</v>
      </c>
      <c r="L832" s="11" t="n">
        <v>1067.11</v>
      </c>
      <c r="M832" s="12" t="n">
        <v>0.463</v>
      </c>
    </row>
    <row r="833">
      <c r="A833" t="inlineStr">
        <is>
          <t>ORD-10380</t>
        </is>
      </c>
      <c r="B833" s="10" t="inlineStr">
        <is>
          <t>2024-10-16</t>
        </is>
      </c>
      <c r="C833" t="inlineStr">
        <is>
          <t>Customer 157</t>
        </is>
      </c>
      <c r="D833" t="inlineStr">
        <is>
          <t>North</t>
        </is>
      </c>
      <c r="E833" t="inlineStr">
        <is>
          <t>Office Supplies</t>
        </is>
      </c>
      <c r="F833" t="inlineStr">
        <is>
          <t>Stapler</t>
        </is>
      </c>
      <c r="G833" t="inlineStr">
        <is>
          <t>Same Day</t>
        </is>
      </c>
      <c r="H833" t="n">
        <v>4</v>
      </c>
      <c r="I833" s="11" t="n">
        <v>54.3</v>
      </c>
      <c r="J833" s="12" t="n">
        <v>0</v>
      </c>
      <c r="K833" s="11" t="n">
        <v>217.2</v>
      </c>
      <c r="L833" s="11" t="n">
        <v>58.81</v>
      </c>
      <c r="M833" s="12" t="n">
        <v>0.2708</v>
      </c>
    </row>
    <row r="834">
      <c r="A834" t="inlineStr">
        <is>
          <t>ORD-11643</t>
        </is>
      </c>
      <c r="B834" s="10" t="inlineStr">
        <is>
          <t>2024-10-16</t>
        </is>
      </c>
      <c r="C834" t="inlineStr">
        <is>
          <t>Customer 158</t>
        </is>
      </c>
      <c r="D834" t="inlineStr">
        <is>
          <t>East</t>
        </is>
      </c>
      <c r="E834" t="inlineStr">
        <is>
          <t>Technology</t>
        </is>
      </c>
      <c r="F834" t="inlineStr">
        <is>
          <t>Printer</t>
        </is>
      </c>
      <c r="G834" t="inlineStr">
        <is>
          <t>Standard Class</t>
        </is>
      </c>
      <c r="H834" t="n">
        <v>2</v>
      </c>
      <c r="I834" s="11" t="n">
        <v>405.66</v>
      </c>
      <c r="J834" s="12" t="n">
        <v>0.15</v>
      </c>
      <c r="K834" s="11" t="n">
        <v>689.62</v>
      </c>
      <c r="L834" s="11" t="n">
        <v>148.64</v>
      </c>
      <c r="M834" s="12" t="n">
        <v>0.2155</v>
      </c>
    </row>
    <row r="835">
      <c r="A835" t="inlineStr">
        <is>
          <t>ORD-11073</t>
        </is>
      </c>
      <c r="B835" s="10" t="inlineStr">
        <is>
          <t>2024-10-17</t>
        </is>
      </c>
      <c r="C835" t="inlineStr">
        <is>
          <t>Customer 81</t>
        </is>
      </c>
      <c r="D835" t="inlineStr">
        <is>
          <t>West</t>
        </is>
      </c>
      <c r="E835" t="inlineStr">
        <is>
          <t>Technology</t>
        </is>
      </c>
      <c r="F835" t="inlineStr">
        <is>
          <t>Laptop</t>
        </is>
      </c>
      <c r="G835" t="inlineStr">
        <is>
          <t>Standard Class</t>
        </is>
      </c>
      <c r="H835" t="n">
        <v>8</v>
      </c>
      <c r="I835" s="11" t="n">
        <v>800.08</v>
      </c>
      <c r="J835" s="12" t="n">
        <v>0</v>
      </c>
      <c r="K835" s="11" t="n">
        <v>6400.64</v>
      </c>
      <c r="L835" s="11" t="n">
        <v>2520.23</v>
      </c>
      <c r="M835" s="12" t="n">
        <v>0.3937</v>
      </c>
    </row>
    <row r="836">
      <c r="A836" t="inlineStr">
        <is>
          <t>ORD-10503</t>
        </is>
      </c>
      <c r="B836" s="10" t="inlineStr">
        <is>
          <t>2024-10-17</t>
        </is>
      </c>
      <c r="C836" t="inlineStr">
        <is>
          <t>Customer 29</t>
        </is>
      </c>
      <c r="D836" t="inlineStr">
        <is>
          <t>East</t>
        </is>
      </c>
      <c r="E836" t="inlineStr">
        <is>
          <t>Technology</t>
        </is>
      </c>
      <c r="F836" t="inlineStr">
        <is>
          <t>Laptop</t>
        </is>
      </c>
      <c r="G836" t="inlineStr">
        <is>
          <t>Second Class</t>
        </is>
      </c>
      <c r="H836" t="n">
        <v>4</v>
      </c>
      <c r="I836" s="11" t="n">
        <v>399.73</v>
      </c>
      <c r="J836" s="12" t="n">
        <v>0.1</v>
      </c>
      <c r="K836" s="11" t="n">
        <v>1439.03</v>
      </c>
      <c r="L836" s="11" t="n">
        <v>277.26</v>
      </c>
      <c r="M836" s="12" t="n">
        <v>0.1927</v>
      </c>
    </row>
    <row r="837">
      <c r="A837" t="inlineStr">
        <is>
          <t>ORD-11942</t>
        </is>
      </c>
      <c r="B837" s="10" t="inlineStr">
        <is>
          <t>2024-10-17</t>
        </is>
      </c>
      <c r="C837" t="inlineStr">
        <is>
          <t>Customer 121</t>
        </is>
      </c>
      <c r="D837" t="inlineStr">
        <is>
          <t>South</t>
        </is>
      </c>
      <c r="E837" t="inlineStr">
        <is>
          <t>Office Supplies</t>
        </is>
      </c>
      <c r="F837" t="inlineStr">
        <is>
          <t>Stapler</t>
        </is>
      </c>
      <c r="G837" t="inlineStr">
        <is>
          <t>Standard Class</t>
        </is>
      </c>
      <c r="H837" t="n">
        <v>4</v>
      </c>
      <c r="I837" s="11" t="n">
        <v>283.24</v>
      </c>
      <c r="J837" s="12" t="n">
        <v>0</v>
      </c>
      <c r="K837" s="11" t="n">
        <v>1132.96</v>
      </c>
      <c r="L837" s="11" t="n">
        <v>528.76</v>
      </c>
      <c r="M837" s="12" t="n">
        <v>0.4667</v>
      </c>
    </row>
    <row r="838">
      <c r="A838" t="inlineStr">
        <is>
          <t>ORD-11825</t>
        </is>
      </c>
      <c r="B838" s="10" t="inlineStr">
        <is>
          <t>2024-10-18</t>
        </is>
      </c>
      <c r="C838" t="inlineStr">
        <is>
          <t>Customer 132</t>
        </is>
      </c>
      <c r="D838" t="inlineStr">
        <is>
          <t>East</t>
        </is>
      </c>
      <c r="E838" t="inlineStr">
        <is>
          <t>Office Supplies</t>
        </is>
      </c>
      <c r="F838" t="inlineStr">
        <is>
          <t>Paper</t>
        </is>
      </c>
      <c r="G838" t="inlineStr">
        <is>
          <t>Standard Class</t>
        </is>
      </c>
      <c r="H838" t="n">
        <v>2</v>
      </c>
      <c r="I838" s="11" t="n">
        <v>920.27</v>
      </c>
      <c r="J838" s="12" t="n">
        <v>0</v>
      </c>
      <c r="K838" s="11" t="n">
        <v>1840.54</v>
      </c>
      <c r="L838" s="11" t="n">
        <v>605.28</v>
      </c>
      <c r="M838" s="12" t="n">
        <v>0.3289</v>
      </c>
    </row>
    <row r="839">
      <c r="A839" t="inlineStr">
        <is>
          <t>ORD-11213</t>
        </is>
      </c>
      <c r="B839" s="10" t="inlineStr">
        <is>
          <t>2024-10-18</t>
        </is>
      </c>
      <c r="C839" t="inlineStr">
        <is>
          <t>Customer 16</t>
        </is>
      </c>
      <c r="D839" t="inlineStr">
        <is>
          <t>West</t>
        </is>
      </c>
      <c r="E839" t="inlineStr">
        <is>
          <t>Office Supplies</t>
        </is>
      </c>
      <c r="F839" t="inlineStr">
        <is>
          <t>Binder</t>
        </is>
      </c>
      <c r="G839" t="inlineStr">
        <is>
          <t>First Class</t>
        </is>
      </c>
      <c r="H839" t="n">
        <v>5</v>
      </c>
      <c r="I839" s="11" t="n">
        <v>481.03</v>
      </c>
      <c r="J839" s="12" t="n">
        <v>0.15</v>
      </c>
      <c r="K839" s="11" t="n">
        <v>2044.38</v>
      </c>
      <c r="L839" s="11" t="n">
        <v>61.51</v>
      </c>
      <c r="M839" s="12" t="n">
        <v>0.0301</v>
      </c>
    </row>
    <row r="840">
      <c r="A840" t="inlineStr">
        <is>
          <t>ORD-11750</t>
        </is>
      </c>
      <c r="B840" s="10" t="inlineStr">
        <is>
          <t>2024-10-18</t>
        </is>
      </c>
      <c r="C840" t="inlineStr">
        <is>
          <t>Customer 158</t>
        </is>
      </c>
      <c r="D840" t="inlineStr">
        <is>
          <t>East</t>
        </is>
      </c>
      <c r="E840" t="inlineStr">
        <is>
          <t>Furniture</t>
        </is>
      </c>
      <c r="F840" t="inlineStr">
        <is>
          <t>Table Lamp</t>
        </is>
      </c>
      <c r="G840" t="inlineStr">
        <is>
          <t>Standard Class</t>
        </is>
      </c>
      <c r="H840" t="n">
        <v>4</v>
      </c>
      <c r="I840" s="11" t="n">
        <v>412.94</v>
      </c>
      <c r="J840" s="12" t="n">
        <v>0</v>
      </c>
      <c r="K840" s="11" t="n">
        <v>1651.76</v>
      </c>
      <c r="L840" s="11" t="n">
        <v>778.64</v>
      </c>
      <c r="M840" s="12" t="n">
        <v>0.4714</v>
      </c>
    </row>
    <row r="841">
      <c r="A841" t="inlineStr">
        <is>
          <t>ORD-11750</t>
        </is>
      </c>
      <c r="B841" s="10" t="inlineStr">
        <is>
          <t>2024-10-18</t>
        </is>
      </c>
      <c r="C841" t="inlineStr">
        <is>
          <t>Customer 158</t>
        </is>
      </c>
      <c r="D841" t="inlineStr">
        <is>
          <t>East</t>
        </is>
      </c>
      <c r="E841" t="inlineStr">
        <is>
          <t>Furniture</t>
        </is>
      </c>
      <c r="F841" t="inlineStr">
        <is>
          <t>Table Lamp</t>
        </is>
      </c>
      <c r="G841" t="inlineStr">
        <is>
          <t>Standard Class</t>
        </is>
      </c>
      <c r="H841" t="n">
        <v>4</v>
      </c>
      <c r="I841" s="11" t="n">
        <v>412.94</v>
      </c>
      <c r="J841" s="12" t="n">
        <v>0</v>
      </c>
      <c r="K841" s="11" t="n">
        <v>1651.76</v>
      </c>
      <c r="L841" s="11" t="n">
        <v>778.64</v>
      </c>
      <c r="M841" s="12" t="n">
        <v>0.4714</v>
      </c>
    </row>
    <row r="842">
      <c r="A842" t="inlineStr">
        <is>
          <t>ORD-10428</t>
        </is>
      </c>
      <c r="B842" s="10" t="inlineStr">
        <is>
          <t>2024-10-19</t>
        </is>
      </c>
      <c r="C842" t="inlineStr">
        <is>
          <t>Customer 173</t>
        </is>
      </c>
      <c r="D842" t="inlineStr">
        <is>
          <t>West</t>
        </is>
      </c>
      <c r="E842" t="inlineStr">
        <is>
          <t>Furniture</t>
        </is>
      </c>
      <c r="F842" t="inlineStr">
        <is>
          <t>Desk</t>
        </is>
      </c>
      <c r="G842" t="inlineStr">
        <is>
          <t>Standard Class</t>
        </is>
      </c>
      <c r="H842" t="n">
        <v>2</v>
      </c>
      <c r="I842" s="11" t="n">
        <v>637.2</v>
      </c>
      <c r="J842" s="12" t="n">
        <v>0</v>
      </c>
      <c r="K842" s="11" t="n">
        <v>1274.4</v>
      </c>
      <c r="L842" s="11" t="n">
        <v>565</v>
      </c>
      <c r="M842" s="12" t="n">
        <v>0.4433</v>
      </c>
    </row>
    <row r="843">
      <c r="A843" t="inlineStr">
        <is>
          <t>ORD-11398</t>
        </is>
      </c>
      <c r="B843" s="10" t="inlineStr">
        <is>
          <t>2024-10-19</t>
        </is>
      </c>
      <c r="C843" t="inlineStr">
        <is>
          <t>Customer 119</t>
        </is>
      </c>
      <c r="D843" t="inlineStr">
        <is>
          <t>North</t>
        </is>
      </c>
      <c r="E843" t="inlineStr">
        <is>
          <t>Technology</t>
        </is>
      </c>
      <c r="F843" t="inlineStr">
        <is>
          <t>Laptop</t>
        </is>
      </c>
      <c r="G843" t="inlineStr">
        <is>
          <t>First Class</t>
        </is>
      </c>
      <c r="H843" t="n">
        <v>7</v>
      </c>
      <c r="I843" s="11" t="n">
        <v>1180.67</v>
      </c>
      <c r="J843" s="12" t="n">
        <v>0.1</v>
      </c>
      <c r="K843" s="11" t="n">
        <v>7438.22</v>
      </c>
      <c r="L843" s="11" t="n">
        <v>456.49</v>
      </c>
      <c r="M843" s="12" t="n">
        <v>0.0614</v>
      </c>
    </row>
    <row r="844">
      <c r="A844" t="inlineStr">
        <is>
          <t>ORD-11612</t>
        </is>
      </c>
      <c r="B844" s="10" t="inlineStr">
        <is>
          <t>2024-10-19</t>
        </is>
      </c>
      <c r="C844" t="inlineStr">
        <is>
          <t>Customer 44</t>
        </is>
      </c>
      <c r="D844" t="inlineStr">
        <is>
          <t>South</t>
        </is>
      </c>
      <c r="E844" t="inlineStr">
        <is>
          <t>Technology</t>
        </is>
      </c>
      <c r="F844" t="inlineStr">
        <is>
          <t>Monitor</t>
        </is>
      </c>
      <c r="G844" t="inlineStr">
        <is>
          <t>Second Class</t>
        </is>
      </c>
      <c r="H844" t="n">
        <v>5</v>
      </c>
      <c r="I844" s="11" t="n">
        <v>982.47</v>
      </c>
      <c r="J844" s="12" t="n">
        <v>0.1</v>
      </c>
      <c r="K844" s="11" t="n">
        <v>4421.12</v>
      </c>
      <c r="L844" s="11" t="n">
        <v>634.72</v>
      </c>
      <c r="M844" s="12" t="n">
        <v>0.1436</v>
      </c>
    </row>
    <row r="845">
      <c r="A845" t="inlineStr">
        <is>
          <t>ORD-10729</t>
        </is>
      </c>
      <c r="B845" s="10" t="inlineStr">
        <is>
          <t>2024-10-20</t>
        </is>
      </c>
      <c r="C845" t="inlineStr">
        <is>
          <t>Customer 69</t>
        </is>
      </c>
      <c r="D845" t="inlineStr">
        <is>
          <t>North</t>
        </is>
      </c>
      <c r="E845" t="inlineStr">
        <is>
          <t>Office Supplies</t>
        </is>
      </c>
      <c r="F845" t="inlineStr">
        <is>
          <t>Stapler</t>
        </is>
      </c>
      <c r="G845" t="inlineStr">
        <is>
          <t>Same Day</t>
        </is>
      </c>
      <c r="H845" t="n">
        <v>9</v>
      </c>
      <c r="I845" s="11" t="n">
        <v>401.99</v>
      </c>
      <c r="J845" s="12" t="n">
        <v>0.15</v>
      </c>
      <c r="K845" s="11" t="n">
        <v>3075.22</v>
      </c>
      <c r="L845" s="11" t="n">
        <v>1172.95</v>
      </c>
      <c r="M845" s="12" t="n">
        <v>0.3814</v>
      </c>
    </row>
    <row r="846">
      <c r="A846" t="inlineStr">
        <is>
          <t>ORD-11920</t>
        </is>
      </c>
      <c r="B846" s="10" t="inlineStr">
        <is>
          <t>2024-10-20</t>
        </is>
      </c>
      <c r="C846" t="inlineStr">
        <is>
          <t>Customer 116</t>
        </is>
      </c>
      <c r="D846" t="inlineStr">
        <is>
          <t>East</t>
        </is>
      </c>
      <c r="E846" t="inlineStr">
        <is>
          <t>Office Supplies</t>
        </is>
      </c>
      <c r="F846" t="inlineStr">
        <is>
          <t>Stapler</t>
        </is>
      </c>
      <c r="G846" t="inlineStr">
        <is>
          <t>Second Class</t>
        </is>
      </c>
      <c r="H846" t="n">
        <v>5</v>
      </c>
      <c r="I846" s="11" t="n">
        <v>509.71</v>
      </c>
      <c r="J846" s="12" t="n">
        <v>0.3</v>
      </c>
      <c r="K846" s="11" t="n">
        <v>1783.98</v>
      </c>
      <c r="L846" s="11" t="n">
        <v>261.2</v>
      </c>
      <c r="M846" s="12" t="n">
        <v>0.1464</v>
      </c>
    </row>
    <row r="847">
      <c r="A847" t="inlineStr">
        <is>
          <t>ORD-10512</t>
        </is>
      </c>
      <c r="B847" s="10" t="inlineStr">
        <is>
          <t>2024-10-20</t>
        </is>
      </c>
      <c r="C847" t="inlineStr">
        <is>
          <t>Customer 18</t>
        </is>
      </c>
      <c r="D847" t="inlineStr">
        <is>
          <t>North</t>
        </is>
      </c>
      <c r="E847" t="inlineStr">
        <is>
          <t>Furniture</t>
        </is>
      </c>
      <c r="F847" t="inlineStr">
        <is>
          <t>Bookcase</t>
        </is>
      </c>
      <c r="G847" t="inlineStr">
        <is>
          <t>Same Day</t>
        </is>
      </c>
      <c r="H847" t="n">
        <v>2</v>
      </c>
      <c r="I847" s="11" t="n">
        <v>189.26</v>
      </c>
      <c r="J847" s="12" t="n">
        <v>0</v>
      </c>
      <c r="K847" s="11" t="n">
        <v>378.52</v>
      </c>
      <c r="L847" s="11" t="n">
        <v>177.82</v>
      </c>
      <c r="M847" s="12" t="n">
        <v>0.4698</v>
      </c>
    </row>
    <row r="848">
      <c r="A848" t="inlineStr">
        <is>
          <t>ORD-10240</t>
        </is>
      </c>
      <c r="B848" s="10" t="inlineStr">
        <is>
          <t>2024-10-20</t>
        </is>
      </c>
      <c r="C848" t="inlineStr">
        <is>
          <t>Customer 12</t>
        </is>
      </c>
      <c r="D848" t="inlineStr">
        <is>
          <t>West</t>
        </is>
      </c>
      <c r="E848" t="inlineStr">
        <is>
          <t>Furniture</t>
        </is>
      </c>
      <c r="F848" t="inlineStr">
        <is>
          <t>Table Lamp</t>
        </is>
      </c>
      <c r="G848" t="inlineStr">
        <is>
          <t>Standard Class</t>
        </is>
      </c>
      <c r="H848" t="n">
        <v>6</v>
      </c>
      <c r="I848" s="11" t="n">
        <v>273.5</v>
      </c>
      <c r="J848" s="12" t="n">
        <v>0.15</v>
      </c>
      <c r="K848" s="11" t="n">
        <v>1394.85</v>
      </c>
      <c r="L848" s="11" t="n">
        <v>345.07</v>
      </c>
      <c r="M848" s="12" t="n">
        <v>0.2474</v>
      </c>
    </row>
    <row r="849">
      <c r="A849" t="inlineStr">
        <is>
          <t>ORD-11809</t>
        </is>
      </c>
      <c r="B849" s="10" t="inlineStr">
        <is>
          <t>2024-10-20</t>
        </is>
      </c>
      <c r="C849" t="inlineStr">
        <is>
          <t>Customer 185</t>
        </is>
      </c>
      <c r="D849" t="inlineStr">
        <is>
          <t>South</t>
        </is>
      </c>
      <c r="E849" t="inlineStr">
        <is>
          <t>Technology</t>
        </is>
      </c>
      <c r="F849" t="inlineStr">
        <is>
          <t>Printer</t>
        </is>
      </c>
      <c r="G849" t="inlineStr">
        <is>
          <t>Second Class</t>
        </is>
      </c>
      <c r="H849" t="n">
        <v>10</v>
      </c>
      <c r="I849" s="11" t="n">
        <v>290.71</v>
      </c>
      <c r="J849" s="12" t="n">
        <v>0</v>
      </c>
      <c r="K849" s="11" t="n">
        <v>2907.1</v>
      </c>
      <c r="L849" s="11" t="n">
        <v>1226.64</v>
      </c>
      <c r="M849" s="12" t="n">
        <v>0.4219</v>
      </c>
    </row>
    <row r="850">
      <c r="A850" t="inlineStr">
        <is>
          <t>ORD-11434</t>
        </is>
      </c>
      <c r="B850" s="10" t="inlineStr">
        <is>
          <t>2024-10-20</t>
        </is>
      </c>
      <c r="C850" t="inlineStr">
        <is>
          <t>Customer 45</t>
        </is>
      </c>
      <c r="D850" t="inlineStr">
        <is>
          <t>North</t>
        </is>
      </c>
      <c r="E850" t="inlineStr">
        <is>
          <t>Office Supplies</t>
        </is>
      </c>
      <c r="F850" t="inlineStr">
        <is>
          <t>Stapler</t>
        </is>
      </c>
      <c r="G850" t="inlineStr">
        <is>
          <t>Standard Class</t>
        </is>
      </c>
      <c r="H850" t="n">
        <v>9</v>
      </c>
      <c r="I850" s="11" t="n">
        <v>885.51</v>
      </c>
      <c r="J850" s="12" t="n">
        <v>0</v>
      </c>
      <c r="K850" s="11" t="n">
        <v>7969.59</v>
      </c>
      <c r="L850" s="11" t="n">
        <v>1262.8</v>
      </c>
      <c r="M850" s="12" t="n">
        <v>0.1585</v>
      </c>
    </row>
    <row r="851">
      <c r="A851" t="inlineStr">
        <is>
          <t>ORD-10756</t>
        </is>
      </c>
      <c r="B851" s="10" t="inlineStr">
        <is>
          <t>2024-10-21</t>
        </is>
      </c>
      <c r="C851" t="inlineStr">
        <is>
          <t>Customer 141</t>
        </is>
      </c>
      <c r="D851" t="inlineStr">
        <is>
          <t>West</t>
        </is>
      </c>
      <c r="E851" t="inlineStr">
        <is>
          <t>Office Supplies</t>
        </is>
      </c>
      <c r="F851" t="inlineStr">
        <is>
          <t>Stapler</t>
        </is>
      </c>
      <c r="G851" t="inlineStr">
        <is>
          <t>First Class</t>
        </is>
      </c>
      <c r="H851" t="n">
        <v>9</v>
      </c>
      <c r="I851" s="11" t="n">
        <v>285.76</v>
      </c>
      <c r="J851" s="12" t="n">
        <v>0</v>
      </c>
      <c r="K851" s="11" t="n">
        <v>2571.84</v>
      </c>
      <c r="L851" s="11" t="n">
        <v>1101.96</v>
      </c>
      <c r="M851" s="12" t="n">
        <v>0.4285</v>
      </c>
    </row>
    <row r="852">
      <c r="A852" t="inlineStr">
        <is>
          <t>ORD-11777</t>
        </is>
      </c>
      <c r="B852" s="10" t="inlineStr">
        <is>
          <t>2024-10-21</t>
        </is>
      </c>
      <c r="C852" t="inlineStr">
        <is>
          <t>Customer 77</t>
        </is>
      </c>
      <c r="D852" t="inlineStr">
        <is>
          <t>South</t>
        </is>
      </c>
      <c r="E852" t="inlineStr">
        <is>
          <t>Technology</t>
        </is>
      </c>
      <c r="F852" t="inlineStr">
        <is>
          <t>Laptop</t>
        </is>
      </c>
      <c r="G852" t="inlineStr">
        <is>
          <t>First Class</t>
        </is>
      </c>
      <c r="H852" t="n">
        <v>2</v>
      </c>
      <c r="I852" s="11" t="n">
        <v>701.62</v>
      </c>
      <c r="J852" s="12" t="n">
        <v>0</v>
      </c>
      <c r="K852" s="11" t="n">
        <v>1403.24</v>
      </c>
      <c r="L852" s="11" t="n">
        <v>535.16</v>
      </c>
      <c r="M852" s="12" t="n">
        <v>0.3814</v>
      </c>
    </row>
    <row r="853">
      <c r="A853" t="inlineStr">
        <is>
          <t>ORD-10403</t>
        </is>
      </c>
      <c r="B853" s="10" t="inlineStr">
        <is>
          <t>2024-10-22</t>
        </is>
      </c>
      <c r="C853" t="inlineStr">
        <is>
          <t>Customer 190</t>
        </is>
      </c>
      <c r="D853" t="inlineStr">
        <is>
          <t>South</t>
        </is>
      </c>
      <c r="E853" t="inlineStr">
        <is>
          <t>Furniture</t>
        </is>
      </c>
      <c r="F853" t="inlineStr">
        <is>
          <t>Chair</t>
        </is>
      </c>
      <c r="G853" t="inlineStr">
        <is>
          <t>Second Class</t>
        </is>
      </c>
      <c r="H853" t="n">
        <v>10</v>
      </c>
      <c r="I853" s="11" t="n">
        <v>275.55</v>
      </c>
      <c r="J853" s="12" t="n">
        <v>0</v>
      </c>
      <c r="K853" s="11" t="n">
        <v>2755.5</v>
      </c>
      <c r="L853" s="11" t="n">
        <v>422.13</v>
      </c>
      <c r="M853" s="12" t="n">
        <v>0.1532</v>
      </c>
    </row>
    <row r="854">
      <c r="A854" t="inlineStr">
        <is>
          <t>ORD-11241</t>
        </is>
      </c>
      <c r="B854" s="10" t="inlineStr">
        <is>
          <t>2024-10-22</t>
        </is>
      </c>
      <c r="C854" t="inlineStr">
        <is>
          <t>Customer 59</t>
        </is>
      </c>
      <c r="D854" t="inlineStr">
        <is>
          <t>East</t>
        </is>
      </c>
      <c r="E854" t="inlineStr">
        <is>
          <t>Technology</t>
        </is>
      </c>
      <c r="F854" t="inlineStr">
        <is>
          <t>Printer</t>
        </is>
      </c>
      <c r="G854" t="inlineStr">
        <is>
          <t>Same Day</t>
        </is>
      </c>
      <c r="H854" t="n">
        <v>7</v>
      </c>
      <c r="I854" s="11" t="n">
        <v>282.85</v>
      </c>
      <c r="J854" s="12" t="n">
        <v>0</v>
      </c>
      <c r="K854" s="11" t="n">
        <v>1979.95</v>
      </c>
      <c r="L854" s="11" t="n">
        <v>725.6799999999999</v>
      </c>
      <c r="M854" s="12" t="n">
        <v>0.3665</v>
      </c>
    </row>
    <row r="855">
      <c r="A855" t="inlineStr">
        <is>
          <t>ORD-11449</t>
        </is>
      </c>
      <c r="B855" s="10" t="inlineStr">
        <is>
          <t>2024-10-23</t>
        </is>
      </c>
      <c r="C855" t="inlineStr">
        <is>
          <t>Customer 34</t>
        </is>
      </c>
      <c r="D855" t="inlineStr">
        <is>
          <t>East</t>
        </is>
      </c>
      <c r="E855" t="inlineStr">
        <is>
          <t>Furniture</t>
        </is>
      </c>
      <c r="F855" t="inlineStr">
        <is>
          <t>Chair</t>
        </is>
      </c>
      <c r="G855" t="inlineStr">
        <is>
          <t>Second Class</t>
        </is>
      </c>
      <c r="H855" t="n">
        <v>9</v>
      </c>
      <c r="I855" s="11" t="n">
        <v>215.19</v>
      </c>
      <c r="J855" s="12" t="n">
        <v>0.2</v>
      </c>
      <c r="K855" s="11" t="n">
        <v>1549.37</v>
      </c>
      <c r="L855" s="11" t="n">
        <v>-18.59</v>
      </c>
      <c r="M855" s="12" t="n">
        <v>-0.012</v>
      </c>
    </row>
    <row r="856">
      <c r="A856" t="inlineStr">
        <is>
          <t>ORD-11647</t>
        </is>
      </c>
      <c r="B856" s="10" t="inlineStr">
        <is>
          <t>2024-10-23</t>
        </is>
      </c>
      <c r="C856" t="inlineStr">
        <is>
          <t>Customer 109</t>
        </is>
      </c>
      <c r="D856" t="inlineStr">
        <is>
          <t>South</t>
        </is>
      </c>
      <c r="E856" t="inlineStr">
        <is>
          <t>Office Supplies</t>
        </is>
      </c>
      <c r="F856" t="inlineStr">
        <is>
          <t>Paper</t>
        </is>
      </c>
      <c r="G856" t="inlineStr">
        <is>
          <t>First Class</t>
        </is>
      </c>
      <c r="H856" t="n">
        <v>2</v>
      </c>
      <c r="I856" s="11" t="n">
        <v>303.2</v>
      </c>
      <c r="J856" s="12" t="n">
        <v>0</v>
      </c>
      <c r="K856" s="11" t="n">
        <v>606.4</v>
      </c>
      <c r="L856" s="11" t="n">
        <v>290.18</v>
      </c>
      <c r="M856" s="12" t="n">
        <v>0.4785</v>
      </c>
    </row>
    <row r="857">
      <c r="A857" t="inlineStr">
        <is>
          <t>ORD-10999</t>
        </is>
      </c>
      <c r="B857" s="10" t="inlineStr">
        <is>
          <t>2024-10-24</t>
        </is>
      </c>
      <c r="C857" t="inlineStr">
        <is>
          <t>Customer 72</t>
        </is>
      </c>
      <c r="D857" t="inlineStr">
        <is>
          <t>North</t>
        </is>
      </c>
      <c r="E857" t="inlineStr">
        <is>
          <t>Office Supplies</t>
        </is>
      </c>
      <c r="F857" t="inlineStr">
        <is>
          <t>Pens (Box)</t>
        </is>
      </c>
      <c r="G857" t="inlineStr">
        <is>
          <t>Second Class</t>
        </is>
      </c>
      <c r="H857" t="n">
        <v>10</v>
      </c>
      <c r="I857" s="11" t="n">
        <v>618.87</v>
      </c>
      <c r="J857" s="12" t="n">
        <v>0</v>
      </c>
      <c r="K857" s="11" t="n">
        <v>6188.7</v>
      </c>
      <c r="L857" s="11" t="n">
        <v>1593.33</v>
      </c>
      <c r="M857" s="12" t="n">
        <v>0.2575</v>
      </c>
    </row>
    <row r="858">
      <c r="A858" t="inlineStr">
        <is>
          <t>ORD-10209</t>
        </is>
      </c>
      <c r="B858" s="10" t="inlineStr">
        <is>
          <t>2024-10-24</t>
        </is>
      </c>
      <c r="C858" t="inlineStr">
        <is>
          <t>Customer 56</t>
        </is>
      </c>
      <c r="D858" t="inlineStr">
        <is>
          <t>North</t>
        </is>
      </c>
      <c r="E858" t="inlineStr">
        <is>
          <t>Office Supplies</t>
        </is>
      </c>
      <c r="F858" t="inlineStr">
        <is>
          <t>Stapler</t>
        </is>
      </c>
      <c r="G858" t="inlineStr">
        <is>
          <t>First Class</t>
        </is>
      </c>
      <c r="H858" t="n">
        <v>11</v>
      </c>
      <c r="I858" s="11" t="n">
        <v>420.74</v>
      </c>
      <c r="J858" s="12" t="n">
        <v>0</v>
      </c>
      <c r="K858" s="11" t="n">
        <v>4628.14</v>
      </c>
      <c r="L858" s="11" t="n">
        <v>1948.1</v>
      </c>
      <c r="M858" s="12" t="n">
        <v>0.4209</v>
      </c>
    </row>
    <row r="859">
      <c r="A859" t="inlineStr">
        <is>
          <t>ORD-11854</t>
        </is>
      </c>
      <c r="B859" s="10" t="inlineStr">
        <is>
          <t>2024-10-25</t>
        </is>
      </c>
      <c r="C859" t="inlineStr">
        <is>
          <t>Customer 174</t>
        </is>
      </c>
      <c r="D859" t="inlineStr">
        <is>
          <t>East</t>
        </is>
      </c>
      <c r="E859" t="inlineStr">
        <is>
          <t>Technology</t>
        </is>
      </c>
      <c r="F859" t="inlineStr">
        <is>
          <t>Laptop</t>
        </is>
      </c>
      <c r="G859" t="inlineStr">
        <is>
          <t>Standard Class</t>
        </is>
      </c>
      <c r="H859" t="n">
        <v>2</v>
      </c>
      <c r="I859" s="11" t="n">
        <v>927.88</v>
      </c>
      <c r="J859" s="12" t="n">
        <v>0</v>
      </c>
      <c r="K859" s="11" t="n">
        <v>1855.76</v>
      </c>
      <c r="L859" s="11" t="n">
        <v>575.92</v>
      </c>
      <c r="M859" s="12" t="n">
        <v>0.3103</v>
      </c>
    </row>
    <row r="860">
      <c r="A860" t="inlineStr">
        <is>
          <t>ORD-10129</t>
        </is>
      </c>
      <c r="B860" s="10" t="inlineStr">
        <is>
          <t>2024-10-25</t>
        </is>
      </c>
      <c r="C860" t="inlineStr">
        <is>
          <t>Customer 142</t>
        </is>
      </c>
      <c r="D860" t="inlineStr">
        <is>
          <t>North</t>
        </is>
      </c>
      <c r="E860" t="inlineStr">
        <is>
          <t>Technology</t>
        </is>
      </c>
      <c r="F860" t="inlineStr">
        <is>
          <t>Laptop</t>
        </is>
      </c>
      <c r="G860" t="inlineStr">
        <is>
          <t>Standard Class</t>
        </is>
      </c>
      <c r="H860" t="n">
        <v>9</v>
      </c>
      <c r="I860" s="11" t="n">
        <v>927.96</v>
      </c>
      <c r="J860" s="12" t="n">
        <v>0</v>
      </c>
      <c r="K860" s="11" t="n">
        <v>8351.639999999999</v>
      </c>
      <c r="L860" s="11" t="n">
        <v>1423.63</v>
      </c>
      <c r="M860" s="12" t="n">
        <v>0.1705</v>
      </c>
    </row>
    <row r="861">
      <c r="A861" t="inlineStr">
        <is>
          <t>ORD-11807</t>
        </is>
      </c>
      <c r="B861" s="10" t="inlineStr">
        <is>
          <t>2024-10-25</t>
        </is>
      </c>
      <c r="C861" t="inlineStr">
        <is>
          <t>Customer 125</t>
        </is>
      </c>
      <c r="D861" t="inlineStr">
        <is>
          <t>West</t>
        </is>
      </c>
      <c r="E861" t="inlineStr">
        <is>
          <t>Furniture</t>
        </is>
      </c>
      <c r="F861" t="inlineStr">
        <is>
          <t>Bookcase</t>
        </is>
      </c>
      <c r="G861" t="inlineStr">
        <is>
          <t>First Class</t>
        </is>
      </c>
      <c r="H861" t="n">
        <v>11</v>
      </c>
      <c r="I861" s="11" t="n">
        <v>1029.67</v>
      </c>
      <c r="J861" s="12" t="n">
        <v>0</v>
      </c>
      <c r="K861" s="11" t="n">
        <v>11326.37</v>
      </c>
      <c r="L861" s="11" t="n">
        <v>3543.22</v>
      </c>
      <c r="M861" s="12" t="n">
        <v>0.3128</v>
      </c>
    </row>
    <row r="862">
      <c r="A862" t="inlineStr">
        <is>
          <t>ORD-11283</t>
        </is>
      </c>
      <c r="B862" s="10" t="inlineStr">
        <is>
          <t>2024-10-25</t>
        </is>
      </c>
      <c r="C862" t="inlineStr">
        <is>
          <t>Customer 176</t>
        </is>
      </c>
      <c r="D862" t="inlineStr">
        <is>
          <t>South</t>
        </is>
      </c>
      <c r="E862" t="inlineStr">
        <is>
          <t>Technology</t>
        </is>
      </c>
      <c r="F862" t="inlineStr">
        <is>
          <t>Wireless Mouse</t>
        </is>
      </c>
      <c r="G862" t="inlineStr">
        <is>
          <t>Standard Class</t>
        </is>
      </c>
      <c r="H862" t="n">
        <v>6</v>
      </c>
      <c r="I862" s="11" t="n">
        <v>643.55</v>
      </c>
      <c r="J862" s="12" t="n">
        <v>0</v>
      </c>
      <c r="K862" s="11" t="n">
        <v>8477.1</v>
      </c>
      <c r="L862" s="11" t="n">
        <v>646.9449999999999</v>
      </c>
      <c r="M862" s="12" t="n">
        <v>0.07630000000000001</v>
      </c>
    </row>
    <row r="863">
      <c r="A863" t="inlineStr">
        <is>
          <t>ORD-10236</t>
        </is>
      </c>
      <c r="B863" s="10" t="inlineStr">
        <is>
          <t>2024-10-26</t>
        </is>
      </c>
      <c r="C863" t="inlineStr">
        <is>
          <t>Customer 11</t>
        </is>
      </c>
      <c r="D863" t="inlineStr">
        <is>
          <t>East</t>
        </is>
      </c>
      <c r="E863" t="inlineStr">
        <is>
          <t>Furniture</t>
        </is>
      </c>
      <c r="F863" t="inlineStr">
        <is>
          <t>Chair</t>
        </is>
      </c>
      <c r="G863" t="inlineStr">
        <is>
          <t>First Class</t>
        </is>
      </c>
      <c r="H863" t="n">
        <v>7</v>
      </c>
      <c r="I863" s="11" t="n">
        <v>577.9</v>
      </c>
      <c r="J863" s="12" t="n">
        <v>0.15</v>
      </c>
      <c r="K863" s="11" t="n">
        <v>3438.5</v>
      </c>
      <c r="L863" s="11" t="n">
        <v>506.51</v>
      </c>
      <c r="M863" s="12" t="n">
        <v>0.1473</v>
      </c>
    </row>
    <row r="864">
      <c r="A864" t="inlineStr">
        <is>
          <t>ORD-10926</t>
        </is>
      </c>
      <c r="B864" s="10" t="inlineStr">
        <is>
          <t>2024-10-27</t>
        </is>
      </c>
      <c r="C864" t="inlineStr">
        <is>
          <t>Customer 117</t>
        </is>
      </c>
      <c r="D864" t="inlineStr">
        <is>
          <t>North</t>
        </is>
      </c>
      <c r="E864" t="inlineStr">
        <is>
          <t>Furniture</t>
        </is>
      </c>
      <c r="F864" t="inlineStr">
        <is>
          <t>Table Lamp</t>
        </is>
      </c>
      <c r="G864" t="inlineStr">
        <is>
          <t>Same Day</t>
        </is>
      </c>
      <c r="H864" t="n">
        <v>7</v>
      </c>
      <c r="I864" s="11" t="n">
        <v>916.39</v>
      </c>
      <c r="J864" s="12" t="n">
        <v>0</v>
      </c>
      <c r="K864" s="11" t="n">
        <v>6414.73</v>
      </c>
      <c r="L864" s="11" t="n">
        <v>2911.43</v>
      </c>
      <c r="M864" s="12" t="n">
        <v>0.4539</v>
      </c>
    </row>
    <row r="865">
      <c r="A865" t="inlineStr">
        <is>
          <t>ORD-11935</t>
        </is>
      </c>
      <c r="B865" s="10" t="inlineStr">
        <is>
          <t>2024-10-28</t>
        </is>
      </c>
      <c r="C865" t="inlineStr">
        <is>
          <t>Customer 138</t>
        </is>
      </c>
      <c r="D865" t="inlineStr">
        <is>
          <t>North</t>
        </is>
      </c>
      <c r="E865" t="inlineStr">
        <is>
          <t>Office Supplies</t>
        </is>
      </c>
      <c r="F865" t="inlineStr">
        <is>
          <t>Binder</t>
        </is>
      </c>
      <c r="G865" t="inlineStr">
        <is>
          <t>Standard Class</t>
        </is>
      </c>
      <c r="H865" t="n">
        <v>2</v>
      </c>
      <c r="I865" s="11" t="n">
        <v>730.3200000000001</v>
      </c>
      <c r="J865" s="12" t="n">
        <v>0</v>
      </c>
      <c r="K865" s="11" t="n">
        <v>1460.64</v>
      </c>
      <c r="L865" s="11" t="n">
        <v>637.39</v>
      </c>
      <c r="M865" s="12" t="n">
        <v>0.4364</v>
      </c>
    </row>
    <row r="866">
      <c r="A866" t="inlineStr">
        <is>
          <t>ORD-11532</t>
        </is>
      </c>
      <c r="B866" s="10" t="inlineStr">
        <is>
          <t>2024-10-28</t>
        </is>
      </c>
      <c r="C866" t="inlineStr">
        <is>
          <t>Customer 142</t>
        </is>
      </c>
      <c r="D866" t="inlineStr">
        <is>
          <t>North</t>
        </is>
      </c>
      <c r="E866" t="inlineStr">
        <is>
          <t>Furniture</t>
        </is>
      </c>
      <c r="F866" t="inlineStr">
        <is>
          <t>Bookcase</t>
        </is>
      </c>
      <c r="G866" t="inlineStr">
        <is>
          <t>Second Class</t>
        </is>
      </c>
      <c r="H866" t="n">
        <v>9</v>
      </c>
      <c r="I866" s="11" t="n">
        <v>1008.17</v>
      </c>
      <c r="J866" s="12" t="n">
        <v>0</v>
      </c>
      <c r="K866" s="11" t="n">
        <v>9073.530000000001</v>
      </c>
      <c r="L866" s="11" t="n">
        <v>4492.85</v>
      </c>
      <c r="M866" s="12" t="n">
        <v>0.4952</v>
      </c>
    </row>
    <row r="867">
      <c r="A867" t="inlineStr">
        <is>
          <t>ORD-10973</t>
        </is>
      </c>
      <c r="B867" s="10" t="inlineStr">
        <is>
          <t>2024-10-28</t>
        </is>
      </c>
      <c r="C867" t="inlineStr">
        <is>
          <t>Customer 141</t>
        </is>
      </c>
      <c r="D867" t="inlineStr">
        <is>
          <t>West</t>
        </is>
      </c>
      <c r="E867" t="inlineStr">
        <is>
          <t>Office Supplies</t>
        </is>
      </c>
      <c r="F867" t="inlineStr">
        <is>
          <t>Stapler</t>
        </is>
      </c>
      <c r="G867" t="inlineStr">
        <is>
          <t>Second Class</t>
        </is>
      </c>
      <c r="H867" t="n">
        <v>8</v>
      </c>
      <c r="I867" s="11" t="n">
        <v>412.78</v>
      </c>
      <c r="J867" s="12" t="n">
        <v>0</v>
      </c>
      <c r="K867" s="11" t="n">
        <v>3302.24</v>
      </c>
      <c r="L867" s="11" t="n">
        <v>877.35</v>
      </c>
      <c r="M867" s="12" t="n">
        <v>0.2657</v>
      </c>
    </row>
    <row r="868">
      <c r="A868" t="inlineStr">
        <is>
          <t>ORD-10117</t>
        </is>
      </c>
      <c r="B868" s="10" t="inlineStr">
        <is>
          <t>2024-10-28</t>
        </is>
      </c>
      <c r="C868" t="inlineStr">
        <is>
          <t>Customer 13</t>
        </is>
      </c>
      <c r="D868" t="inlineStr">
        <is>
          <t>East</t>
        </is>
      </c>
      <c r="E868" t="inlineStr">
        <is>
          <t>Furniture</t>
        </is>
      </c>
      <c r="F868" t="inlineStr">
        <is>
          <t>Desk</t>
        </is>
      </c>
      <c r="G868" t="inlineStr">
        <is>
          <t>Standard Class</t>
        </is>
      </c>
      <c r="H868" t="n">
        <v>6</v>
      </c>
      <c r="I868" s="11" t="n">
        <v>881.53</v>
      </c>
      <c r="J868" s="12" t="n">
        <v>0.15</v>
      </c>
      <c r="K868" s="11" t="n">
        <v>4495.8</v>
      </c>
      <c r="L868" s="11" t="n">
        <v>1149.5</v>
      </c>
      <c r="M868" s="12" t="n">
        <v>0.2557</v>
      </c>
    </row>
    <row r="869">
      <c r="A869" t="inlineStr">
        <is>
          <t>ORD-10765</t>
        </is>
      </c>
      <c r="B869" s="10" t="inlineStr">
        <is>
          <t>2024-10-28</t>
        </is>
      </c>
      <c r="C869" t="inlineStr">
        <is>
          <t>Customer 161</t>
        </is>
      </c>
      <c r="D869" t="inlineStr">
        <is>
          <t>West</t>
        </is>
      </c>
      <c r="E869" t="inlineStr">
        <is>
          <t>Technology</t>
        </is>
      </c>
      <c r="F869" t="inlineStr">
        <is>
          <t>Laptop</t>
        </is>
      </c>
      <c r="G869" t="inlineStr">
        <is>
          <t>Standard Class</t>
        </is>
      </c>
      <c r="H869" t="n">
        <v>4</v>
      </c>
      <c r="I869" s="11" t="n">
        <v>335.11</v>
      </c>
      <c r="J869" s="12" t="n">
        <v>0</v>
      </c>
      <c r="K869" s="11" t="n">
        <v>1340.44</v>
      </c>
      <c r="L869" s="11" t="n">
        <v>532.14</v>
      </c>
      <c r="M869" s="12" t="n">
        <v>0.397</v>
      </c>
    </row>
    <row r="870">
      <c r="A870" t="inlineStr">
        <is>
          <t>ORD-11235</t>
        </is>
      </c>
      <c r="B870" s="10" t="inlineStr">
        <is>
          <t>2024-10-28</t>
        </is>
      </c>
      <c r="C870" t="inlineStr">
        <is>
          <t>Customer 80</t>
        </is>
      </c>
      <c r="D870" t="inlineStr">
        <is>
          <t>East</t>
        </is>
      </c>
      <c r="E870" t="inlineStr">
        <is>
          <t>Technology</t>
        </is>
      </c>
      <c r="F870" t="inlineStr">
        <is>
          <t>Wireless Mouse</t>
        </is>
      </c>
      <c r="G870" t="inlineStr">
        <is>
          <t>Same Day</t>
        </is>
      </c>
      <c r="H870" t="n">
        <v>8</v>
      </c>
      <c r="I870" s="11" t="n">
        <v>238.47</v>
      </c>
      <c r="J870" s="12" t="n">
        <v>0.2</v>
      </c>
      <c r="K870" s="11" t="n">
        <v>1526.21</v>
      </c>
      <c r="L870" s="11" t="n">
        <v>334.51</v>
      </c>
      <c r="M870" s="12" t="n">
        <v>0.2192</v>
      </c>
    </row>
    <row r="871">
      <c r="A871" t="inlineStr">
        <is>
          <t>ORD-10248</t>
        </is>
      </c>
      <c r="B871" s="10" t="inlineStr">
        <is>
          <t>2024-10-28</t>
        </is>
      </c>
      <c r="C871" t="inlineStr">
        <is>
          <t>Customer 102</t>
        </is>
      </c>
      <c r="D871" t="inlineStr">
        <is>
          <t>North</t>
        </is>
      </c>
      <c r="E871" t="inlineStr">
        <is>
          <t>Furniture</t>
        </is>
      </c>
      <c r="F871" t="inlineStr">
        <is>
          <t>Chair</t>
        </is>
      </c>
      <c r="G871" t="inlineStr">
        <is>
          <t>Second Class</t>
        </is>
      </c>
      <c r="H871" t="n">
        <v>7</v>
      </c>
      <c r="I871" s="11" t="n">
        <v>1051.27</v>
      </c>
      <c r="J871" s="12" t="n">
        <v>0</v>
      </c>
      <c r="K871" s="11" t="n">
        <v>7358.89</v>
      </c>
      <c r="L871" s="11" t="n">
        <v>1650.4</v>
      </c>
      <c r="M871" s="12" t="n">
        <v>0.2243</v>
      </c>
    </row>
    <row r="872">
      <c r="A872" t="inlineStr">
        <is>
          <t>ORD-10728</t>
        </is>
      </c>
      <c r="B872" s="10" t="inlineStr">
        <is>
          <t>2024-10-29</t>
        </is>
      </c>
      <c r="C872" t="inlineStr">
        <is>
          <t>Customer 28</t>
        </is>
      </c>
      <c r="D872" t="inlineStr">
        <is>
          <t>West</t>
        </is>
      </c>
      <c r="E872" t="inlineStr">
        <is>
          <t>Office Supplies</t>
        </is>
      </c>
      <c r="F872" t="inlineStr">
        <is>
          <t>Paper</t>
        </is>
      </c>
      <c r="G872" t="inlineStr">
        <is>
          <t>Second Class</t>
        </is>
      </c>
      <c r="H872" t="n">
        <v>11</v>
      </c>
      <c r="I872" s="11" t="n">
        <v>945.25</v>
      </c>
      <c r="J872" s="12" t="n">
        <v>0.2</v>
      </c>
      <c r="K872" s="11" t="n">
        <v>8318.200000000001</v>
      </c>
      <c r="L872" s="11" t="n">
        <v>959.04</v>
      </c>
      <c r="M872" s="12" t="n">
        <v>0.1153</v>
      </c>
    </row>
    <row r="873">
      <c r="A873" t="inlineStr">
        <is>
          <t>ORD-10099</t>
        </is>
      </c>
      <c r="B873" s="10" t="inlineStr">
        <is>
          <t>2024-10-29</t>
        </is>
      </c>
      <c r="C873" t="inlineStr">
        <is>
          <t>Customer 76</t>
        </is>
      </c>
      <c r="D873" t="inlineStr">
        <is>
          <t>South</t>
        </is>
      </c>
      <c r="E873" t="inlineStr">
        <is>
          <t>Furniture</t>
        </is>
      </c>
      <c r="F873" t="inlineStr">
        <is>
          <t>Desk</t>
        </is>
      </c>
      <c r="G873" t="inlineStr">
        <is>
          <t>Standard Class</t>
        </is>
      </c>
      <c r="H873" t="n">
        <v>5</v>
      </c>
      <c r="I873" s="11" t="n">
        <v>502.85</v>
      </c>
      <c r="J873" s="12" t="n">
        <v>0</v>
      </c>
      <c r="K873" s="11" t="n">
        <v>2514.25</v>
      </c>
      <c r="L873" s="11" t="n">
        <v>1158.5</v>
      </c>
      <c r="M873" s="12" t="n">
        <v>0.4608</v>
      </c>
    </row>
    <row r="874">
      <c r="A874" t="inlineStr">
        <is>
          <t>ORD-11208</t>
        </is>
      </c>
      <c r="B874" s="10" t="inlineStr">
        <is>
          <t>2024-10-29</t>
        </is>
      </c>
      <c r="C874" t="inlineStr">
        <is>
          <t>Customer 13</t>
        </is>
      </c>
      <c r="D874" t="inlineStr">
        <is>
          <t>East</t>
        </is>
      </c>
      <c r="E874" t="inlineStr">
        <is>
          <t>Office Supplies</t>
        </is>
      </c>
      <c r="F874" t="inlineStr">
        <is>
          <t>Pens (Box)</t>
        </is>
      </c>
      <c r="G874" t="inlineStr">
        <is>
          <t>First Class</t>
        </is>
      </c>
      <c r="H874" t="n">
        <v>1</v>
      </c>
      <c r="I874" s="11" t="n">
        <v>347.92</v>
      </c>
      <c r="J874" s="12" t="n">
        <v>0.2</v>
      </c>
      <c r="K874" s="11" t="n">
        <v>278.34</v>
      </c>
      <c r="L874" s="11" t="n">
        <v>24.58</v>
      </c>
      <c r="M874" s="12" t="n">
        <v>0.0883</v>
      </c>
    </row>
    <row r="875">
      <c r="A875" t="inlineStr">
        <is>
          <t>ORD-10426</t>
        </is>
      </c>
      <c r="B875" s="10" t="inlineStr">
        <is>
          <t>2024-10-29</t>
        </is>
      </c>
      <c r="C875" t="inlineStr">
        <is>
          <t>Customer 98</t>
        </is>
      </c>
      <c r="D875" t="inlineStr">
        <is>
          <t>East</t>
        </is>
      </c>
      <c r="E875" t="inlineStr">
        <is>
          <t>Technology</t>
        </is>
      </c>
      <c r="F875" t="inlineStr">
        <is>
          <t>Laptop</t>
        </is>
      </c>
      <c r="G875" t="inlineStr">
        <is>
          <t>Same Day</t>
        </is>
      </c>
      <c r="H875" t="n">
        <v>5</v>
      </c>
      <c r="I875" s="11" t="n">
        <v>153.01</v>
      </c>
      <c r="J875" s="12" t="n">
        <v>0</v>
      </c>
      <c r="K875" s="11" t="n">
        <v>765.05</v>
      </c>
      <c r="L875" s="11" t="n">
        <v>233.4</v>
      </c>
      <c r="M875" s="12" t="n">
        <v>0.3051</v>
      </c>
    </row>
    <row r="876">
      <c r="A876" t="inlineStr">
        <is>
          <t>ORD-10175</t>
        </is>
      </c>
      <c r="B876" s="10" t="inlineStr">
        <is>
          <t>2024-10-29</t>
        </is>
      </c>
      <c r="C876" t="inlineStr">
        <is>
          <t>Customer 52</t>
        </is>
      </c>
      <c r="D876" t="inlineStr">
        <is>
          <t>North</t>
        </is>
      </c>
      <c r="E876" t="inlineStr">
        <is>
          <t>Technology</t>
        </is>
      </c>
      <c r="F876" t="inlineStr">
        <is>
          <t>Monitor</t>
        </is>
      </c>
      <c r="G876" t="inlineStr">
        <is>
          <t>Standard Class</t>
        </is>
      </c>
      <c r="H876" t="n">
        <v>3</v>
      </c>
      <c r="I876" s="11" t="n">
        <v>817.03</v>
      </c>
      <c r="J876" s="12" t="n">
        <v>0</v>
      </c>
      <c r="K876" s="11" t="n">
        <v>2451.09</v>
      </c>
      <c r="L876" s="11" t="n">
        <v>1140.48</v>
      </c>
      <c r="M876" s="12" t="n">
        <v>0.4653</v>
      </c>
    </row>
    <row r="877">
      <c r="A877" t="inlineStr">
        <is>
          <t>ORD-10251</t>
        </is>
      </c>
      <c r="B877" s="10" t="inlineStr">
        <is>
          <t>2024-10-30</t>
        </is>
      </c>
      <c r="C877" t="inlineStr">
        <is>
          <t>Customer 139</t>
        </is>
      </c>
      <c r="D877" t="inlineStr">
        <is>
          <t>South</t>
        </is>
      </c>
      <c r="E877" t="inlineStr">
        <is>
          <t>Furniture</t>
        </is>
      </c>
      <c r="F877" t="inlineStr">
        <is>
          <t>Desk</t>
        </is>
      </c>
      <c r="G877" t="inlineStr">
        <is>
          <t>Same Day</t>
        </is>
      </c>
      <c r="H877" t="n">
        <v>4</v>
      </c>
      <c r="I877" s="11" t="n">
        <v>1038.79</v>
      </c>
      <c r="J877" s="12" t="n">
        <v>0</v>
      </c>
      <c r="K877" s="11" t="n">
        <v>4155.16</v>
      </c>
      <c r="L877" s="11" t="n">
        <v>1501.04</v>
      </c>
      <c r="M877" s="12" t="n">
        <v>0.3612</v>
      </c>
    </row>
    <row r="878">
      <c r="A878" t="inlineStr">
        <is>
          <t>ORD-11740</t>
        </is>
      </c>
      <c r="B878" s="10" t="inlineStr">
        <is>
          <t>2024-10-30</t>
        </is>
      </c>
      <c r="C878" t="inlineStr">
        <is>
          <t>Customer 86</t>
        </is>
      </c>
      <c r="D878" t="inlineStr">
        <is>
          <t>East</t>
        </is>
      </c>
      <c r="E878" t="inlineStr">
        <is>
          <t>Office Supplies</t>
        </is>
      </c>
      <c r="F878" t="inlineStr">
        <is>
          <t>Stapler</t>
        </is>
      </c>
      <c r="G878" t="inlineStr">
        <is>
          <t>Standard Class</t>
        </is>
      </c>
      <c r="H878" t="n">
        <v>11</v>
      </c>
      <c r="I878" s="11" t="n">
        <v>812.65</v>
      </c>
      <c r="J878" s="12" t="n">
        <v>0</v>
      </c>
      <c r="K878" s="11" t="n">
        <v>8939.15</v>
      </c>
      <c r="L878" s="11" t="n">
        <v>2865.04</v>
      </c>
      <c r="M878" s="12" t="n">
        <v>0.3205</v>
      </c>
    </row>
    <row r="879">
      <c r="A879" t="inlineStr">
        <is>
          <t>ORD-10489</t>
        </is>
      </c>
      <c r="B879" s="10" t="inlineStr">
        <is>
          <t>2024-10-30</t>
        </is>
      </c>
      <c r="C879" t="inlineStr">
        <is>
          <t>Customer 2</t>
        </is>
      </c>
      <c r="D879" t="inlineStr">
        <is>
          <t>West</t>
        </is>
      </c>
      <c r="E879" t="inlineStr">
        <is>
          <t>Technology</t>
        </is>
      </c>
      <c r="F879" t="inlineStr">
        <is>
          <t>Printer</t>
        </is>
      </c>
      <c r="G879" t="inlineStr">
        <is>
          <t>Standard Class</t>
        </is>
      </c>
      <c r="H879" t="n">
        <v>8</v>
      </c>
      <c r="I879" s="11" t="n">
        <v>846.42</v>
      </c>
      <c r="J879" s="12" t="n">
        <v>0.15</v>
      </c>
      <c r="K879" s="11" t="n">
        <v>5755.66</v>
      </c>
      <c r="L879" s="11" t="n">
        <v>1224.17</v>
      </c>
      <c r="M879" s="12" t="n">
        <v>0.2127</v>
      </c>
    </row>
    <row r="880">
      <c r="A880" t="inlineStr">
        <is>
          <t>ORD-10065</t>
        </is>
      </c>
      <c r="B880" s="10" t="inlineStr">
        <is>
          <t>2024-10-30</t>
        </is>
      </c>
      <c r="C880" t="inlineStr">
        <is>
          <t>Customer 43</t>
        </is>
      </c>
      <c r="D880" t="inlineStr">
        <is>
          <t>East</t>
        </is>
      </c>
      <c r="E880" t="inlineStr">
        <is>
          <t>Furniture</t>
        </is>
      </c>
      <c r="F880" t="inlineStr">
        <is>
          <t>Chair</t>
        </is>
      </c>
      <c r="G880" t="inlineStr">
        <is>
          <t>First Class</t>
        </is>
      </c>
      <c r="H880" t="n">
        <v>9</v>
      </c>
      <c r="I880" s="11" t="n">
        <v>22.55</v>
      </c>
      <c r="J880" s="12" t="n">
        <v>0.15</v>
      </c>
      <c r="K880" s="11" t="n">
        <v>172.51</v>
      </c>
      <c r="L880" s="11" t="n">
        <v>10.19</v>
      </c>
      <c r="M880" s="12" t="n">
        <v>0.0591</v>
      </c>
    </row>
    <row r="881">
      <c r="A881" t="inlineStr">
        <is>
          <t>ORD-10768</t>
        </is>
      </c>
      <c r="B881" s="10" t="inlineStr">
        <is>
          <t>2024-10-30</t>
        </is>
      </c>
      <c r="C881" t="inlineStr">
        <is>
          <t>Customer 32</t>
        </is>
      </c>
      <c r="D881" t="inlineStr">
        <is>
          <t>North</t>
        </is>
      </c>
      <c r="E881" t="inlineStr">
        <is>
          <t>Technology</t>
        </is>
      </c>
      <c r="F881" t="inlineStr">
        <is>
          <t>Wireless Mouse</t>
        </is>
      </c>
      <c r="G881" t="inlineStr">
        <is>
          <t>Same Day</t>
        </is>
      </c>
      <c r="H881" t="n">
        <v>11</v>
      </c>
      <c r="I881" s="11" t="n">
        <v>1125.15</v>
      </c>
      <c r="J881" s="12" t="n">
        <v>0</v>
      </c>
      <c r="K881" s="11" t="n">
        <v>12376.65</v>
      </c>
      <c r="L881" s="11" t="n">
        <v>4402.61</v>
      </c>
      <c r="M881" s="12" t="n">
        <v>0.3557</v>
      </c>
    </row>
    <row r="882">
      <c r="A882" t="inlineStr">
        <is>
          <t>ORD-10079</t>
        </is>
      </c>
      <c r="B882" s="10" t="inlineStr">
        <is>
          <t>2024-10-31</t>
        </is>
      </c>
      <c r="C882" t="inlineStr">
        <is>
          <t>Customer 172</t>
        </is>
      </c>
      <c r="D882" t="inlineStr">
        <is>
          <t>North</t>
        </is>
      </c>
      <c r="E882" t="inlineStr">
        <is>
          <t>Furniture</t>
        </is>
      </c>
      <c r="F882" t="inlineStr">
        <is>
          <t>Bookcase</t>
        </is>
      </c>
      <c r="G882" t="inlineStr">
        <is>
          <t>Standard Class</t>
        </is>
      </c>
      <c r="H882" t="n">
        <v>9</v>
      </c>
      <c r="I882" s="11" t="n">
        <v>530.91</v>
      </c>
      <c r="J882" s="12" t="n">
        <v>0</v>
      </c>
      <c r="K882" s="11" t="n">
        <v>4778.19</v>
      </c>
      <c r="L882" s="11" t="n">
        <v>1295.2</v>
      </c>
      <c r="M882" s="12" t="n">
        <v>0.2711</v>
      </c>
    </row>
    <row r="883">
      <c r="A883" t="inlineStr">
        <is>
          <t>ORD-10548</t>
        </is>
      </c>
      <c r="B883" s="10" t="inlineStr">
        <is>
          <t>2024-10-31</t>
        </is>
      </c>
      <c r="C883" t="inlineStr">
        <is>
          <t>Customer 164</t>
        </is>
      </c>
      <c r="D883" t="inlineStr">
        <is>
          <t>South</t>
        </is>
      </c>
      <c r="E883" t="inlineStr">
        <is>
          <t>Technology</t>
        </is>
      </c>
      <c r="F883" t="inlineStr">
        <is>
          <t>Laptop</t>
        </is>
      </c>
      <c r="G883" t="inlineStr">
        <is>
          <t>Same Day</t>
        </is>
      </c>
      <c r="H883" t="n">
        <v>10</v>
      </c>
      <c r="I883" s="11" t="n">
        <v>1055.96</v>
      </c>
      <c r="J883" s="12" t="n">
        <v>0</v>
      </c>
      <c r="K883" s="11" t="n">
        <v>10559.6</v>
      </c>
      <c r="L883" s="11" t="n">
        <v>4493.78</v>
      </c>
      <c r="M883" s="12" t="n">
        <v>0.4256</v>
      </c>
    </row>
    <row r="884">
      <c r="A884" t="inlineStr">
        <is>
          <t>ORD-11458</t>
        </is>
      </c>
      <c r="B884" s="10" t="inlineStr">
        <is>
          <t>2024-10-31</t>
        </is>
      </c>
      <c r="C884" t="inlineStr">
        <is>
          <t>Customer 73</t>
        </is>
      </c>
      <c r="D884" t="inlineStr">
        <is>
          <t>South</t>
        </is>
      </c>
      <c r="E884" t="inlineStr">
        <is>
          <t>Furniture</t>
        </is>
      </c>
      <c r="F884" t="inlineStr">
        <is>
          <t>Bookcase</t>
        </is>
      </c>
      <c r="G884" t="inlineStr">
        <is>
          <t>Standard Class</t>
        </is>
      </c>
      <c r="H884" t="n">
        <v>5</v>
      </c>
      <c r="I884" s="11" t="n">
        <v>863.13</v>
      </c>
      <c r="J884" s="12" t="n">
        <v>0</v>
      </c>
      <c r="K884" s="11" t="n">
        <v>4315.65</v>
      </c>
      <c r="L884" s="11" t="n">
        <v>1319.38</v>
      </c>
      <c r="M884" s="12" t="n">
        <v>0.3057</v>
      </c>
    </row>
    <row r="885">
      <c r="A885" t="inlineStr">
        <is>
          <t>ORD-10060</t>
        </is>
      </c>
      <c r="B885" s="10" t="inlineStr">
        <is>
          <t>2024-11-01</t>
        </is>
      </c>
      <c r="C885" t="inlineStr">
        <is>
          <t>Customer 2</t>
        </is>
      </c>
      <c r="D885" t="inlineStr">
        <is>
          <t>West</t>
        </is>
      </c>
      <c r="E885" t="inlineStr">
        <is>
          <t>Office Supplies</t>
        </is>
      </c>
      <c r="F885" t="inlineStr">
        <is>
          <t>Paper</t>
        </is>
      </c>
      <c r="G885" t="inlineStr">
        <is>
          <t>First Class</t>
        </is>
      </c>
      <c r="H885" t="n">
        <v>4</v>
      </c>
      <c r="I885" s="11" t="n">
        <v>571.59</v>
      </c>
      <c r="J885" s="12" t="n">
        <v>0</v>
      </c>
      <c r="K885" s="11" t="n">
        <v>2286.36</v>
      </c>
      <c r="L885" s="11" t="n">
        <v>685.08</v>
      </c>
      <c r="M885" s="12" t="n">
        <v>0.2996</v>
      </c>
    </row>
    <row r="886">
      <c r="A886" t="inlineStr">
        <is>
          <t>ORD-10711</t>
        </is>
      </c>
      <c r="B886" s="10" t="inlineStr">
        <is>
          <t>2024-11-01</t>
        </is>
      </c>
      <c r="C886" t="inlineStr">
        <is>
          <t>Customer 108</t>
        </is>
      </c>
      <c r="D886" t="inlineStr">
        <is>
          <t>East</t>
        </is>
      </c>
      <c r="E886" t="inlineStr">
        <is>
          <t>Furniture</t>
        </is>
      </c>
      <c r="F886" t="inlineStr">
        <is>
          <t>Table Lamp</t>
        </is>
      </c>
      <c r="G886" t="inlineStr">
        <is>
          <t>Standard Class</t>
        </is>
      </c>
      <c r="H886" t="n">
        <v>4</v>
      </c>
      <c r="I886" s="11" t="n">
        <v>710.49</v>
      </c>
      <c r="J886" s="12" t="n">
        <v>0</v>
      </c>
      <c r="K886" s="11" t="n">
        <v>2841.96</v>
      </c>
      <c r="L886" s="11" t="n">
        <v>1273.15</v>
      </c>
      <c r="M886" s="12" t="n">
        <v>0.448</v>
      </c>
    </row>
    <row r="887">
      <c r="A887" t="inlineStr">
        <is>
          <t>ORD-10971</t>
        </is>
      </c>
      <c r="B887" s="10" t="inlineStr">
        <is>
          <t>2024-11-03</t>
        </is>
      </c>
      <c r="C887" t="inlineStr">
        <is>
          <t>Customer 51</t>
        </is>
      </c>
      <c r="D887" t="inlineStr">
        <is>
          <t>West</t>
        </is>
      </c>
      <c r="E887" t="inlineStr">
        <is>
          <t>Office Supplies</t>
        </is>
      </c>
      <c r="F887" t="inlineStr">
        <is>
          <t>Stapler</t>
        </is>
      </c>
      <c r="G887" t="inlineStr">
        <is>
          <t>Second Class</t>
        </is>
      </c>
      <c r="H887" t="n">
        <v>11</v>
      </c>
      <c r="I887" s="11" t="n">
        <v>254.46</v>
      </c>
      <c r="J887" s="12" t="n">
        <v>0</v>
      </c>
      <c r="K887" s="11" t="n">
        <v>2799.06</v>
      </c>
      <c r="L887" s="11" t="n">
        <v>1192</v>
      </c>
      <c r="M887" s="12" t="n">
        <v>0.4259</v>
      </c>
    </row>
    <row r="888">
      <c r="A888" t="inlineStr">
        <is>
          <t>ORD-10221</t>
        </is>
      </c>
      <c r="B888" s="10" t="inlineStr">
        <is>
          <t>2024-11-04</t>
        </is>
      </c>
      <c r="C888" t="inlineStr">
        <is>
          <t>Customer 185</t>
        </is>
      </c>
      <c r="D888" t="inlineStr">
        <is>
          <t>South</t>
        </is>
      </c>
      <c r="E888" t="inlineStr">
        <is>
          <t>Furniture</t>
        </is>
      </c>
      <c r="F888" t="inlineStr">
        <is>
          <t>Desk</t>
        </is>
      </c>
      <c r="G888" t="inlineStr">
        <is>
          <t>Standard Class</t>
        </is>
      </c>
      <c r="H888" t="n">
        <v>2</v>
      </c>
      <c r="I888" s="11" t="n">
        <v>662.54</v>
      </c>
      <c r="J888" s="12" t="n">
        <v>0.1</v>
      </c>
      <c r="K888" s="11" t="n">
        <v>1192.57</v>
      </c>
      <c r="L888" s="11" t="n">
        <v>497.6</v>
      </c>
      <c r="M888" s="12" t="n">
        <v>0.4173</v>
      </c>
    </row>
    <row r="889">
      <c r="A889" t="inlineStr">
        <is>
          <t>ORD-11695</t>
        </is>
      </c>
      <c r="B889" s="10" t="inlineStr">
        <is>
          <t>2024-11-04</t>
        </is>
      </c>
      <c r="C889" t="inlineStr">
        <is>
          <t>Customer 113</t>
        </is>
      </c>
      <c r="D889" t="inlineStr">
        <is>
          <t>East</t>
        </is>
      </c>
      <c r="E889" t="inlineStr">
        <is>
          <t>Technology</t>
        </is>
      </c>
      <c r="F889" t="inlineStr">
        <is>
          <t>Printer</t>
        </is>
      </c>
      <c r="G889" t="inlineStr">
        <is>
          <t>Same Day</t>
        </is>
      </c>
      <c r="H889" t="n">
        <v>2</v>
      </c>
      <c r="I889" s="11" t="n">
        <v>512.95</v>
      </c>
      <c r="J889" s="12" t="n">
        <v>0.1</v>
      </c>
      <c r="K889" s="11" t="n">
        <v>923.3099999999999</v>
      </c>
      <c r="L889" s="11" t="n">
        <v>231.48</v>
      </c>
      <c r="M889" s="12" t="n">
        <v>0.2507</v>
      </c>
    </row>
    <row r="890">
      <c r="A890" t="inlineStr">
        <is>
          <t>ORD-11559</t>
        </is>
      </c>
      <c r="B890" s="10" t="inlineStr">
        <is>
          <t>2024-11-04</t>
        </is>
      </c>
      <c r="C890" t="inlineStr">
        <is>
          <t>Customer 136</t>
        </is>
      </c>
      <c r="D890" t="inlineStr">
        <is>
          <t>South</t>
        </is>
      </c>
      <c r="E890" t="inlineStr">
        <is>
          <t>Furniture</t>
        </is>
      </c>
      <c r="F890" t="inlineStr">
        <is>
          <t>Desk</t>
        </is>
      </c>
      <c r="G890" t="inlineStr">
        <is>
          <t>First Class</t>
        </is>
      </c>
      <c r="H890" t="n">
        <v>1</v>
      </c>
      <c r="I890" s="11" t="n">
        <v>436.54</v>
      </c>
      <c r="J890" s="12" t="n">
        <v>0</v>
      </c>
      <c r="K890" s="11" t="n">
        <v>436.54</v>
      </c>
      <c r="L890" s="11" t="n">
        <v>101.75</v>
      </c>
      <c r="M890" s="12" t="n">
        <v>0.2331</v>
      </c>
    </row>
    <row r="891">
      <c r="A891" t="inlineStr">
        <is>
          <t>ORD-11539</t>
        </is>
      </c>
      <c r="B891" s="10" t="inlineStr">
        <is>
          <t>2024-11-04</t>
        </is>
      </c>
      <c r="C891" t="inlineStr">
        <is>
          <t>Customer 102</t>
        </is>
      </c>
      <c r="D891" t="inlineStr">
        <is>
          <t>North</t>
        </is>
      </c>
      <c r="E891" t="inlineStr">
        <is>
          <t>Office Supplies</t>
        </is>
      </c>
      <c r="F891" t="inlineStr">
        <is>
          <t>Pens (Box)</t>
        </is>
      </c>
      <c r="G891" t="inlineStr">
        <is>
          <t>Same Day</t>
        </is>
      </c>
      <c r="H891" t="n">
        <v>2</v>
      </c>
      <c r="I891" s="11" t="n">
        <v>282.91</v>
      </c>
      <c r="J891" s="12" t="n">
        <v>0.3</v>
      </c>
      <c r="K891" s="11" t="n">
        <v>396.07</v>
      </c>
      <c r="L891" s="11" t="n">
        <v>-39.53</v>
      </c>
      <c r="M891" s="12" t="n">
        <v>-0.0998</v>
      </c>
    </row>
    <row r="892">
      <c r="A892" t="inlineStr">
        <is>
          <t>ORD-11984</t>
        </is>
      </c>
      <c r="B892" s="10" t="inlineStr">
        <is>
          <t>2024-11-05</t>
        </is>
      </c>
      <c r="C892" t="inlineStr">
        <is>
          <t>Customer 41</t>
        </is>
      </c>
      <c r="D892" t="inlineStr">
        <is>
          <t>North</t>
        </is>
      </c>
      <c r="E892" t="inlineStr">
        <is>
          <t>Office Supplies</t>
        </is>
      </c>
      <c r="F892" t="inlineStr">
        <is>
          <t>Binder</t>
        </is>
      </c>
      <c r="G892" t="inlineStr">
        <is>
          <t>Second Class</t>
        </is>
      </c>
      <c r="H892" t="n">
        <v>8</v>
      </c>
      <c r="I892" s="11" t="n">
        <v>471.03</v>
      </c>
      <c r="J892" s="12" t="n">
        <v>0</v>
      </c>
      <c r="K892" s="11" t="n">
        <v>3768.24</v>
      </c>
      <c r="L892" s="11" t="n">
        <v>825.52</v>
      </c>
      <c r="M892" s="12" t="n">
        <v>0.2191</v>
      </c>
    </row>
    <row r="893">
      <c r="A893" t="inlineStr">
        <is>
          <t>ORD-10919</t>
        </is>
      </c>
      <c r="B893" s="10" t="inlineStr">
        <is>
          <t>2024-11-05</t>
        </is>
      </c>
      <c r="C893" t="inlineStr">
        <is>
          <t>Customer 63</t>
        </is>
      </c>
      <c r="D893" t="inlineStr">
        <is>
          <t>South</t>
        </is>
      </c>
      <c r="E893" t="inlineStr">
        <is>
          <t>Furniture</t>
        </is>
      </c>
      <c r="F893" t="inlineStr">
        <is>
          <t>Chair</t>
        </is>
      </c>
      <c r="G893" t="inlineStr">
        <is>
          <t>Standard Class</t>
        </is>
      </c>
      <c r="H893" t="n">
        <v>4</v>
      </c>
      <c r="I893" s="11" t="n">
        <v>168.08</v>
      </c>
      <c r="J893" s="12" t="n">
        <v>0.2</v>
      </c>
      <c r="K893" s="11" t="n">
        <v>537.86</v>
      </c>
      <c r="L893" s="11" t="n">
        <v>189.85</v>
      </c>
      <c r="M893" s="12" t="n">
        <v>0.353</v>
      </c>
    </row>
    <row r="894">
      <c r="A894" t="inlineStr">
        <is>
          <t>ORD-11199</t>
        </is>
      </c>
      <c r="B894" s="10" t="inlineStr">
        <is>
          <t>2024-11-05</t>
        </is>
      </c>
      <c r="C894" t="inlineStr">
        <is>
          <t>Customer 159</t>
        </is>
      </c>
      <c r="D894" t="inlineStr">
        <is>
          <t>East</t>
        </is>
      </c>
      <c r="E894" t="inlineStr">
        <is>
          <t>Furniture</t>
        </is>
      </c>
      <c r="F894" t="inlineStr">
        <is>
          <t>Desk</t>
        </is>
      </c>
      <c r="G894" t="inlineStr">
        <is>
          <t>First Class</t>
        </is>
      </c>
      <c r="H894" t="n">
        <v>8</v>
      </c>
      <c r="I894" s="11" t="n">
        <v>792.62</v>
      </c>
      <c r="J894" s="12" t="n">
        <v>0</v>
      </c>
      <c r="K894" s="11" t="n">
        <v>6340.96</v>
      </c>
      <c r="L894" s="11" t="n">
        <v>1149.17</v>
      </c>
      <c r="M894" s="12" t="n">
        <v>0.1812</v>
      </c>
    </row>
    <row r="895">
      <c r="A895" t="inlineStr">
        <is>
          <t>ORD-10595</t>
        </is>
      </c>
      <c r="B895" s="10" t="inlineStr">
        <is>
          <t>2024-11-05</t>
        </is>
      </c>
      <c r="C895" t="inlineStr">
        <is>
          <t>Customer 172</t>
        </is>
      </c>
      <c r="D895" t="inlineStr">
        <is>
          <t>North</t>
        </is>
      </c>
      <c r="E895" t="inlineStr">
        <is>
          <t>Furniture</t>
        </is>
      </c>
      <c r="F895" t="inlineStr">
        <is>
          <t>Chair</t>
        </is>
      </c>
      <c r="G895" t="inlineStr">
        <is>
          <t>First Class</t>
        </is>
      </c>
      <c r="H895" t="n">
        <v>8</v>
      </c>
      <c r="I895" s="11" t="n">
        <v>332.25</v>
      </c>
      <c r="J895" s="12" t="n">
        <v>0</v>
      </c>
      <c r="K895" s="11" t="n">
        <v>2658</v>
      </c>
      <c r="L895" s="11" t="n">
        <v>1244.94</v>
      </c>
      <c r="M895" s="12" t="n">
        <v>0.4684</v>
      </c>
    </row>
    <row r="896">
      <c r="A896" t="inlineStr">
        <is>
          <t>ORD-11209</t>
        </is>
      </c>
      <c r="B896" s="10" t="inlineStr">
        <is>
          <t>2024-11-06</t>
        </is>
      </c>
      <c r="C896" t="inlineStr">
        <is>
          <t>Customer 177</t>
        </is>
      </c>
      <c r="D896" t="inlineStr">
        <is>
          <t>East</t>
        </is>
      </c>
      <c r="E896" t="inlineStr">
        <is>
          <t>Office Supplies</t>
        </is>
      </c>
      <c r="F896" t="inlineStr">
        <is>
          <t>Paper</t>
        </is>
      </c>
      <c r="G896" t="inlineStr">
        <is>
          <t>Second Class</t>
        </is>
      </c>
      <c r="H896" t="n">
        <v>1</v>
      </c>
      <c r="I896" s="11" t="n">
        <v>1006.03</v>
      </c>
      <c r="J896" s="12" t="n">
        <v>0.1</v>
      </c>
      <c r="K896" s="11" t="n">
        <v>905.4299999999999</v>
      </c>
      <c r="L896" s="11" t="n">
        <v>275.66</v>
      </c>
      <c r="M896" s="12" t="n">
        <v>0.3045</v>
      </c>
    </row>
    <row r="897">
      <c r="A897" t="inlineStr">
        <is>
          <t>ORD-10267</t>
        </is>
      </c>
      <c r="B897" s="10" t="inlineStr">
        <is>
          <t>2024-11-06</t>
        </is>
      </c>
      <c r="C897" t="inlineStr">
        <is>
          <t>Customer 150</t>
        </is>
      </c>
      <c r="D897" t="inlineStr">
        <is>
          <t>North</t>
        </is>
      </c>
      <c r="E897" t="inlineStr">
        <is>
          <t>Technology</t>
        </is>
      </c>
      <c r="F897" t="inlineStr">
        <is>
          <t>Printer</t>
        </is>
      </c>
      <c r="G897" t="inlineStr">
        <is>
          <t>Standard Class</t>
        </is>
      </c>
      <c r="H897" t="n">
        <v>6</v>
      </c>
      <c r="I897" s="11" t="n">
        <v>1154.83</v>
      </c>
      <c r="J897" s="12" t="n">
        <v>0</v>
      </c>
      <c r="K897" s="11" t="n">
        <v>6928.98</v>
      </c>
      <c r="L897" s="11" t="n">
        <v>3025.82</v>
      </c>
      <c r="M897" s="12" t="n">
        <v>0.4367</v>
      </c>
    </row>
    <row r="898">
      <c r="A898" t="inlineStr">
        <is>
          <t>ORD-11986</t>
        </is>
      </c>
      <c r="B898" s="10" t="inlineStr">
        <is>
          <t>2024-11-06</t>
        </is>
      </c>
      <c r="C898" t="inlineStr">
        <is>
          <t>Customer 112</t>
        </is>
      </c>
      <c r="D898" t="inlineStr">
        <is>
          <t>West</t>
        </is>
      </c>
      <c r="E898" t="inlineStr">
        <is>
          <t>Furniture</t>
        </is>
      </c>
      <c r="F898" t="inlineStr">
        <is>
          <t>Desk</t>
        </is>
      </c>
      <c r="G898" t="inlineStr">
        <is>
          <t>Same Day</t>
        </is>
      </c>
      <c r="H898" t="n">
        <v>11</v>
      </c>
      <c r="I898" s="11" t="n">
        <v>695.02</v>
      </c>
      <c r="J898" s="12" t="n">
        <v>0</v>
      </c>
      <c r="K898" s="11" t="n">
        <v>7645.22</v>
      </c>
      <c r="L898" s="11" t="n">
        <v>2684.1</v>
      </c>
      <c r="M898" s="12" t="n">
        <v>0.3511</v>
      </c>
    </row>
    <row r="899">
      <c r="A899" t="inlineStr">
        <is>
          <t>ORD-11445</t>
        </is>
      </c>
      <c r="B899" s="10" t="inlineStr">
        <is>
          <t>2024-11-08</t>
        </is>
      </c>
      <c r="C899" t="inlineStr">
        <is>
          <t>Customer 116</t>
        </is>
      </c>
      <c r="D899" t="inlineStr">
        <is>
          <t>East</t>
        </is>
      </c>
      <c r="E899" t="inlineStr">
        <is>
          <t>Technology</t>
        </is>
      </c>
      <c r="F899" t="inlineStr">
        <is>
          <t>Laptop</t>
        </is>
      </c>
      <c r="G899" t="inlineStr">
        <is>
          <t>Standard Class</t>
        </is>
      </c>
      <c r="H899" t="n">
        <v>6</v>
      </c>
      <c r="I899" s="11" t="n">
        <v>1147.9</v>
      </c>
      <c r="J899" s="12" t="n">
        <v>0.2</v>
      </c>
      <c r="K899" s="11" t="n">
        <v>5509.92</v>
      </c>
      <c r="L899" s="11" t="n">
        <v>1110</v>
      </c>
      <c r="M899" s="12" t="n">
        <v>0.2015</v>
      </c>
    </row>
    <row r="900">
      <c r="A900" t="inlineStr">
        <is>
          <t>ORD-10726</t>
        </is>
      </c>
      <c r="B900" s="10" t="inlineStr">
        <is>
          <t>2024-11-08</t>
        </is>
      </c>
      <c r="C900" t="inlineStr">
        <is>
          <t>Customer 115</t>
        </is>
      </c>
      <c r="D900" t="inlineStr">
        <is>
          <t>East</t>
        </is>
      </c>
      <c r="E900" t="inlineStr">
        <is>
          <t>Technology</t>
        </is>
      </c>
      <c r="F900" t="inlineStr">
        <is>
          <t>Wireless Mouse</t>
        </is>
      </c>
      <c r="G900" t="inlineStr">
        <is>
          <t>First Class</t>
        </is>
      </c>
      <c r="H900" t="n">
        <v>8</v>
      </c>
      <c r="I900" s="11" t="n">
        <v>24.02</v>
      </c>
      <c r="J900" s="12" t="n">
        <v>0</v>
      </c>
      <c r="K900" s="11" t="n">
        <v>192.16</v>
      </c>
      <c r="L900" s="11" t="n">
        <v>62.41</v>
      </c>
      <c r="M900" s="12" t="n">
        <v>0.3248</v>
      </c>
    </row>
    <row r="901">
      <c r="A901" t="inlineStr">
        <is>
          <t>ORD-10707</t>
        </is>
      </c>
      <c r="B901" s="10" t="inlineStr">
        <is>
          <t>2024-11-09</t>
        </is>
      </c>
      <c r="C901" t="inlineStr">
        <is>
          <t>Customer 17</t>
        </is>
      </c>
      <c r="D901" t="inlineStr">
        <is>
          <t>East</t>
        </is>
      </c>
      <c r="E901" t="inlineStr">
        <is>
          <t>Office Supplies</t>
        </is>
      </c>
      <c r="F901" t="inlineStr">
        <is>
          <t>Paper</t>
        </is>
      </c>
      <c r="G901" t="inlineStr">
        <is>
          <t>Second Class</t>
        </is>
      </c>
      <c r="H901" t="n">
        <v>6</v>
      </c>
      <c r="I901" s="11" t="n">
        <v>297.25</v>
      </c>
      <c r="J901" s="12" t="n">
        <v>0.1</v>
      </c>
      <c r="K901" s="11" t="n">
        <v>1605.15</v>
      </c>
      <c r="L901" s="11" t="n">
        <v>179.98</v>
      </c>
      <c r="M901" s="12" t="n">
        <v>0.1121</v>
      </c>
    </row>
    <row r="902">
      <c r="A902" t="inlineStr">
        <is>
          <t>ORD-11017</t>
        </is>
      </c>
      <c r="B902" s="10" t="inlineStr">
        <is>
          <t>2024-11-09</t>
        </is>
      </c>
      <c r="C902" t="inlineStr">
        <is>
          <t>Customer 130</t>
        </is>
      </c>
      <c r="D902" t="inlineStr">
        <is>
          <t>East</t>
        </is>
      </c>
      <c r="E902" t="inlineStr">
        <is>
          <t>Technology</t>
        </is>
      </c>
      <c r="F902" t="inlineStr">
        <is>
          <t>Wireless Mouse</t>
        </is>
      </c>
      <c r="G902" t="inlineStr">
        <is>
          <t>Standard Class</t>
        </is>
      </c>
      <c r="H902" t="n">
        <v>6</v>
      </c>
      <c r="I902" s="11" t="n">
        <v>204.32</v>
      </c>
      <c r="J902" s="12" t="n">
        <v>0</v>
      </c>
      <c r="K902" s="11" t="n">
        <v>1225.92</v>
      </c>
      <c r="L902" s="11" t="n">
        <v>352.95</v>
      </c>
      <c r="M902" s="12" t="n">
        <v>0.2879</v>
      </c>
    </row>
    <row r="903">
      <c r="A903" t="inlineStr">
        <is>
          <t>ORD-10936</t>
        </is>
      </c>
      <c r="B903" s="10" t="inlineStr">
        <is>
          <t>2024-11-10</t>
        </is>
      </c>
      <c r="C903" t="inlineStr">
        <is>
          <t>Customer 146</t>
        </is>
      </c>
      <c r="D903" t="inlineStr">
        <is>
          <t>West</t>
        </is>
      </c>
      <c r="E903" t="inlineStr">
        <is>
          <t>Office Supplies</t>
        </is>
      </c>
      <c r="F903" t="inlineStr">
        <is>
          <t>Binder</t>
        </is>
      </c>
      <c r="G903" t="inlineStr">
        <is>
          <t>First Class</t>
        </is>
      </c>
      <c r="H903" t="n">
        <v>11</v>
      </c>
      <c r="I903" s="11" t="n">
        <v>48.87</v>
      </c>
      <c r="J903" s="12" t="n">
        <v>0</v>
      </c>
      <c r="K903" s="11" t="n">
        <v>537.5700000000001</v>
      </c>
      <c r="L903" s="11" t="n">
        <v>116.12</v>
      </c>
      <c r="M903" s="12" t="n">
        <v>0.216</v>
      </c>
    </row>
    <row r="904">
      <c r="A904" t="inlineStr">
        <is>
          <t>ORD-10424</t>
        </is>
      </c>
      <c r="B904" s="10" t="inlineStr">
        <is>
          <t>2024-11-10</t>
        </is>
      </c>
      <c r="C904" t="inlineStr">
        <is>
          <t>Customer 140</t>
        </is>
      </c>
      <c r="D904" t="inlineStr">
        <is>
          <t>South</t>
        </is>
      </c>
      <c r="E904" t="inlineStr">
        <is>
          <t>Technology</t>
        </is>
      </c>
      <c r="F904" t="inlineStr">
        <is>
          <t>Monitor</t>
        </is>
      </c>
      <c r="G904" t="inlineStr">
        <is>
          <t>Same Day</t>
        </is>
      </c>
      <c r="H904" t="n">
        <v>4</v>
      </c>
      <c r="I904" s="11" t="n">
        <v>978.98</v>
      </c>
      <c r="J904" s="12" t="n">
        <v>0</v>
      </c>
      <c r="K904" s="11" t="n">
        <v>3915.92</v>
      </c>
      <c r="L904" s="11" t="n">
        <v>919.02</v>
      </c>
      <c r="M904" s="12" t="n">
        <v>0.2347</v>
      </c>
    </row>
    <row r="905">
      <c r="A905" t="inlineStr">
        <is>
          <t>ORD-10268</t>
        </is>
      </c>
      <c r="B905" s="10" t="inlineStr">
        <is>
          <t>2024-11-11</t>
        </is>
      </c>
      <c r="C905" t="inlineStr">
        <is>
          <t>Customer 7</t>
        </is>
      </c>
      <c r="D905" t="inlineStr">
        <is>
          <t>North</t>
        </is>
      </c>
      <c r="E905" t="inlineStr">
        <is>
          <t>Technology</t>
        </is>
      </c>
      <c r="F905" t="inlineStr">
        <is>
          <t>Laptop</t>
        </is>
      </c>
      <c r="G905" t="inlineStr">
        <is>
          <t>First Class</t>
        </is>
      </c>
      <c r="H905" t="n">
        <v>8</v>
      </c>
      <c r="I905" s="11" t="n">
        <v>924.24</v>
      </c>
      <c r="J905" s="12" t="n">
        <v>0.1</v>
      </c>
      <c r="K905" s="11" t="n">
        <v>6654.53</v>
      </c>
      <c r="L905" s="11" t="n">
        <v>2874.37</v>
      </c>
      <c r="M905" s="12" t="n">
        <v>0.4319</v>
      </c>
    </row>
    <row r="906">
      <c r="A906" t="inlineStr">
        <is>
          <t>ORD-10520</t>
        </is>
      </c>
      <c r="B906" s="10" t="inlineStr">
        <is>
          <t>2024-11-11</t>
        </is>
      </c>
      <c r="C906" t="inlineStr">
        <is>
          <t>Customer 103</t>
        </is>
      </c>
      <c r="D906" t="inlineStr">
        <is>
          <t>West</t>
        </is>
      </c>
      <c r="E906" t="inlineStr">
        <is>
          <t>Technology</t>
        </is>
      </c>
      <c r="F906" t="inlineStr">
        <is>
          <t>Printer</t>
        </is>
      </c>
      <c r="G906" t="inlineStr">
        <is>
          <t>First Class</t>
        </is>
      </c>
      <c r="H906" t="n">
        <v>8</v>
      </c>
      <c r="I906" s="11" t="n">
        <v>992.92</v>
      </c>
      <c r="J906" s="12" t="n">
        <v>0.2</v>
      </c>
      <c r="K906" s="11" t="n">
        <v>6354.69</v>
      </c>
      <c r="L906" s="11" t="n">
        <v>-208.42</v>
      </c>
      <c r="M906" s="12" t="n">
        <v>-0.0328</v>
      </c>
    </row>
    <row r="907">
      <c r="A907" t="inlineStr">
        <is>
          <t>ORD-11688</t>
        </is>
      </c>
      <c r="B907" s="10" t="inlineStr">
        <is>
          <t>2024-11-11</t>
        </is>
      </c>
      <c r="C907" t="inlineStr">
        <is>
          <t>Customer 79</t>
        </is>
      </c>
      <c r="D907" t="inlineStr">
        <is>
          <t>East</t>
        </is>
      </c>
      <c r="E907" t="inlineStr">
        <is>
          <t>Furniture</t>
        </is>
      </c>
      <c r="F907" t="inlineStr">
        <is>
          <t>Table Lamp</t>
        </is>
      </c>
      <c r="G907" t="inlineStr">
        <is>
          <t>Standard Class</t>
        </is>
      </c>
      <c r="H907" t="n">
        <v>10</v>
      </c>
      <c r="I907" s="11" t="n">
        <v>504.31</v>
      </c>
      <c r="J907" s="12" t="n">
        <v>0</v>
      </c>
      <c r="K907" s="11" t="n">
        <v>5043.1</v>
      </c>
      <c r="L907" s="11" t="n">
        <v>819.8</v>
      </c>
      <c r="M907" s="12" t="n">
        <v>0.1626</v>
      </c>
    </row>
    <row r="908">
      <c r="A908" t="inlineStr">
        <is>
          <t>ORD-11722</t>
        </is>
      </c>
      <c r="B908" s="10" t="inlineStr">
        <is>
          <t>2024-11-12</t>
        </is>
      </c>
      <c r="C908" t="inlineStr">
        <is>
          <t>Customer 160</t>
        </is>
      </c>
      <c r="D908" t="inlineStr">
        <is>
          <t>West</t>
        </is>
      </c>
      <c r="E908" t="inlineStr">
        <is>
          <t>Office Supplies</t>
        </is>
      </c>
      <c r="F908" t="inlineStr">
        <is>
          <t>Pens (Box)</t>
        </is>
      </c>
      <c r="G908" t="inlineStr">
        <is>
          <t>Standard Class</t>
        </is>
      </c>
      <c r="H908" t="n">
        <v>11</v>
      </c>
      <c r="I908" s="11" t="n">
        <v>278.14</v>
      </c>
      <c r="J908" s="12" t="n">
        <v>0.15</v>
      </c>
      <c r="K908" s="11" t="n">
        <v>2600.61</v>
      </c>
      <c r="L908" s="11" t="n">
        <v>683.96</v>
      </c>
      <c r="M908" s="12" t="n">
        <v>0.263</v>
      </c>
    </row>
    <row r="909">
      <c r="A909" t="inlineStr">
        <is>
          <t>ORD-11373</t>
        </is>
      </c>
      <c r="B909" s="10" t="inlineStr">
        <is>
          <t>2024-11-12</t>
        </is>
      </c>
      <c r="C909" t="inlineStr">
        <is>
          <t>Customer 1</t>
        </is>
      </c>
      <c r="D909" t="inlineStr">
        <is>
          <t>North</t>
        </is>
      </c>
      <c r="E909" t="inlineStr">
        <is>
          <t>Office Supplies</t>
        </is>
      </c>
      <c r="F909" t="inlineStr">
        <is>
          <t>Pens (Box)</t>
        </is>
      </c>
      <c r="G909" t="inlineStr">
        <is>
          <t>Same Day</t>
        </is>
      </c>
      <c r="H909" t="n">
        <v>9</v>
      </c>
      <c r="I909" s="11" t="n">
        <v>367.44</v>
      </c>
      <c r="J909" s="12" t="n">
        <v>0.3</v>
      </c>
      <c r="K909" s="11" t="n">
        <v>2314.87</v>
      </c>
      <c r="L909" s="11" t="n">
        <v>-390.28</v>
      </c>
      <c r="M909" s="12" t="n">
        <v>-0.1686</v>
      </c>
    </row>
    <row r="910">
      <c r="A910" t="inlineStr">
        <is>
          <t>ORD-11012</t>
        </is>
      </c>
      <c r="B910" s="10" t="inlineStr">
        <is>
          <t>2024-11-13</t>
        </is>
      </c>
      <c r="C910" t="inlineStr">
        <is>
          <t>Customer 54</t>
        </is>
      </c>
      <c r="D910" t="inlineStr">
        <is>
          <t>South</t>
        </is>
      </c>
      <c r="E910" t="inlineStr">
        <is>
          <t>Technology</t>
        </is>
      </c>
      <c r="F910" t="inlineStr">
        <is>
          <t>Printer</t>
        </is>
      </c>
      <c r="G910" t="inlineStr">
        <is>
          <t>Same Day</t>
        </is>
      </c>
      <c r="H910" t="n">
        <v>6</v>
      </c>
      <c r="I910" s="11" t="n">
        <v>821.25</v>
      </c>
      <c r="J910" s="12" t="n">
        <v>0</v>
      </c>
      <c r="K910" s="11" t="n">
        <v>4927.5</v>
      </c>
      <c r="L910" s="11" t="n">
        <v>1712.35</v>
      </c>
      <c r="M910" s="12" t="n">
        <v>0.3475</v>
      </c>
    </row>
    <row r="911">
      <c r="A911" t="inlineStr">
        <is>
          <t>ORD-11419</t>
        </is>
      </c>
      <c r="B911" s="10" t="inlineStr">
        <is>
          <t>2024-11-13</t>
        </is>
      </c>
      <c r="C911" t="inlineStr">
        <is>
          <t>Customer 171</t>
        </is>
      </c>
      <c r="D911" t="inlineStr">
        <is>
          <t>North</t>
        </is>
      </c>
      <c r="E911" t="inlineStr">
        <is>
          <t>Technology</t>
        </is>
      </c>
      <c r="F911" t="inlineStr">
        <is>
          <t>Wireless Mouse</t>
        </is>
      </c>
      <c r="G911" t="inlineStr">
        <is>
          <t>Second Class</t>
        </is>
      </c>
      <c r="H911" t="n">
        <v>9</v>
      </c>
      <c r="I911" s="11" t="n">
        <v>119.13</v>
      </c>
      <c r="J911" s="12" t="n">
        <v>0</v>
      </c>
      <c r="K911" s="11" t="n">
        <v>964.95</v>
      </c>
      <c r="L911" s="11" t="n">
        <v>322.87</v>
      </c>
      <c r="M911" s="12" t="n">
        <v>0.3346</v>
      </c>
    </row>
    <row r="912">
      <c r="A912" t="inlineStr">
        <is>
          <t>ORD-11259</t>
        </is>
      </c>
      <c r="B912" s="10" t="inlineStr">
        <is>
          <t>2024-11-15</t>
        </is>
      </c>
      <c r="C912" t="inlineStr">
        <is>
          <t>Customer 136</t>
        </is>
      </c>
      <c r="D912" t="inlineStr">
        <is>
          <t>South</t>
        </is>
      </c>
      <c r="E912" t="inlineStr">
        <is>
          <t>Office Supplies</t>
        </is>
      </c>
      <c r="F912" t="inlineStr">
        <is>
          <t>Pens (Box)</t>
        </is>
      </c>
      <c r="G912" t="inlineStr">
        <is>
          <t>Standard Class</t>
        </is>
      </c>
      <c r="H912" t="n">
        <v>11</v>
      </c>
      <c r="I912" s="11" t="n">
        <v>389.12</v>
      </c>
      <c r="J912" s="12" t="n">
        <v>0</v>
      </c>
      <c r="K912" s="11" t="n">
        <v>4280.32</v>
      </c>
      <c r="L912" s="11" t="n">
        <v>1251.47</v>
      </c>
      <c r="M912" s="12" t="n">
        <v>0.2924</v>
      </c>
    </row>
    <row r="913">
      <c r="A913" t="inlineStr">
        <is>
          <t>ORD-10774</t>
        </is>
      </c>
      <c r="B913" s="10" t="inlineStr">
        <is>
          <t>2024-11-16</t>
        </is>
      </c>
      <c r="C913" t="inlineStr">
        <is>
          <t>Customer 122</t>
        </is>
      </c>
      <c r="D913" t="inlineStr">
        <is>
          <t>East</t>
        </is>
      </c>
      <c r="E913" t="inlineStr">
        <is>
          <t>Technology</t>
        </is>
      </c>
      <c r="F913" t="inlineStr">
        <is>
          <t>Laptop</t>
        </is>
      </c>
      <c r="G913" t="inlineStr">
        <is>
          <t>Second Class</t>
        </is>
      </c>
      <c r="H913" t="n">
        <v>8</v>
      </c>
      <c r="I913" s="11" t="n">
        <v>260.51</v>
      </c>
      <c r="J913" s="12" t="n">
        <v>0.2</v>
      </c>
      <c r="K913" s="11" t="n">
        <v>1667.26</v>
      </c>
      <c r="L913" s="11" t="n">
        <v>-87.12</v>
      </c>
      <c r="M913" s="12" t="n">
        <v>-0.0523</v>
      </c>
    </row>
    <row r="914">
      <c r="A914" t="inlineStr">
        <is>
          <t>ORD-11714</t>
        </is>
      </c>
      <c r="B914" s="10" t="inlineStr">
        <is>
          <t>2024-11-16</t>
        </is>
      </c>
      <c r="C914" t="inlineStr">
        <is>
          <t>Customer 112</t>
        </is>
      </c>
      <c r="D914" t="inlineStr">
        <is>
          <t>West</t>
        </is>
      </c>
      <c r="E914" t="inlineStr">
        <is>
          <t>Furniture</t>
        </is>
      </c>
      <c r="F914" t="inlineStr">
        <is>
          <t>Bookcase</t>
        </is>
      </c>
      <c r="G914" t="inlineStr">
        <is>
          <t>Same Day</t>
        </is>
      </c>
      <c r="H914" t="n">
        <v>11</v>
      </c>
      <c r="I914" s="11" t="n">
        <v>909.77</v>
      </c>
      <c r="J914" s="12" t="n">
        <v>0.1</v>
      </c>
      <c r="K914" s="11" t="n">
        <v>9006.719999999999</v>
      </c>
      <c r="L914" s="11" t="n">
        <v>3522.5</v>
      </c>
      <c r="M914" s="12" t="n">
        <v>0.3911</v>
      </c>
    </row>
    <row r="915">
      <c r="A915" t="inlineStr">
        <is>
          <t>ORD-11977</t>
        </is>
      </c>
      <c r="B915" s="10" t="inlineStr">
        <is>
          <t>2024-11-16</t>
        </is>
      </c>
      <c r="C915" t="inlineStr">
        <is>
          <t>Customer 118</t>
        </is>
      </c>
      <c r="D915" t="inlineStr">
        <is>
          <t>North</t>
        </is>
      </c>
      <c r="E915" t="inlineStr">
        <is>
          <t>Technology</t>
        </is>
      </c>
      <c r="F915" t="inlineStr">
        <is>
          <t>Printer</t>
        </is>
      </c>
      <c r="G915" t="inlineStr">
        <is>
          <t>Same Day</t>
        </is>
      </c>
      <c r="H915" t="n">
        <v>6</v>
      </c>
      <c r="I915" s="11" t="n">
        <v>324.03</v>
      </c>
      <c r="J915" s="12" t="n">
        <v>0</v>
      </c>
      <c r="K915" s="11" t="n">
        <v>1944.18</v>
      </c>
      <c r="L915" s="11" t="n">
        <v>793.53</v>
      </c>
      <c r="M915" s="12" t="n">
        <v>0.4082</v>
      </c>
    </row>
    <row r="916">
      <c r="A916" t="inlineStr">
        <is>
          <t>ORD-10889</t>
        </is>
      </c>
      <c r="B916" s="10" t="inlineStr">
        <is>
          <t>2024-11-16</t>
        </is>
      </c>
      <c r="C916" t="inlineStr">
        <is>
          <t>Customer 50</t>
        </is>
      </c>
      <c r="D916" t="inlineStr">
        <is>
          <t>West</t>
        </is>
      </c>
      <c r="E916" t="inlineStr">
        <is>
          <t>Furniture</t>
        </is>
      </c>
      <c r="F916" t="inlineStr">
        <is>
          <t>Desk</t>
        </is>
      </c>
      <c r="G916" t="inlineStr">
        <is>
          <t>Standard Class</t>
        </is>
      </c>
      <c r="H916" t="n">
        <v>2</v>
      </c>
      <c r="I916" s="11" t="n">
        <v>202.91</v>
      </c>
      <c r="J916" s="12" t="n">
        <v>0</v>
      </c>
      <c r="K916" s="11" t="n">
        <v>405.82</v>
      </c>
      <c r="L916" s="11" t="n">
        <v>116.64</v>
      </c>
      <c r="M916" s="12" t="n">
        <v>0.2874</v>
      </c>
    </row>
    <row r="917">
      <c r="A917" t="inlineStr">
        <is>
          <t>ORD-10463</t>
        </is>
      </c>
      <c r="B917" s="10" t="inlineStr">
        <is>
          <t>2024-11-16</t>
        </is>
      </c>
      <c r="C917" t="inlineStr">
        <is>
          <t>Customer 140</t>
        </is>
      </c>
      <c r="D917" t="inlineStr">
        <is>
          <t>South</t>
        </is>
      </c>
      <c r="E917" t="inlineStr">
        <is>
          <t>Office Supplies</t>
        </is>
      </c>
      <c r="F917" t="inlineStr">
        <is>
          <t>Binder</t>
        </is>
      </c>
      <c r="G917" t="inlineStr">
        <is>
          <t>Standard Class</t>
        </is>
      </c>
      <c r="H917" t="n">
        <v>8</v>
      </c>
      <c r="I917" s="11" t="n">
        <v>812.84</v>
      </c>
      <c r="J917" s="12" t="n">
        <v>0</v>
      </c>
      <c r="K917" s="11" t="n">
        <v>6502.72</v>
      </c>
      <c r="L917" s="11" t="n">
        <v>1780.12</v>
      </c>
      <c r="M917" s="12" t="n">
        <v>0.2738</v>
      </c>
    </row>
    <row r="918">
      <c r="A918" t="inlineStr">
        <is>
          <t>ORD-10224</t>
        </is>
      </c>
      <c r="B918" s="10" t="inlineStr">
        <is>
          <t>2024-11-16</t>
        </is>
      </c>
      <c r="C918" t="inlineStr">
        <is>
          <t>Customer 23</t>
        </is>
      </c>
      <c r="D918" t="inlineStr">
        <is>
          <t>North</t>
        </is>
      </c>
      <c r="E918" t="inlineStr">
        <is>
          <t>Technology</t>
        </is>
      </c>
      <c r="F918" t="inlineStr">
        <is>
          <t>Laptop</t>
        </is>
      </c>
      <c r="G918" t="inlineStr">
        <is>
          <t>Same Day</t>
        </is>
      </c>
      <c r="H918" t="n">
        <v>1</v>
      </c>
      <c r="I918" s="11" t="n">
        <v>367.04</v>
      </c>
      <c r="J918" s="12" t="n">
        <v>0</v>
      </c>
      <c r="K918" s="11" t="n">
        <v>367.04</v>
      </c>
      <c r="L918" s="11" t="n">
        <v>153.2</v>
      </c>
      <c r="M918" s="12" t="n">
        <v>0.4174</v>
      </c>
    </row>
    <row r="919">
      <c r="A919" t="inlineStr">
        <is>
          <t>ORD-11236</t>
        </is>
      </c>
      <c r="B919" s="10" t="inlineStr">
        <is>
          <t>2024-11-17</t>
        </is>
      </c>
      <c r="C919" t="inlineStr">
        <is>
          <t>Customer 200</t>
        </is>
      </c>
      <c r="D919" t="inlineStr">
        <is>
          <t>West</t>
        </is>
      </c>
      <c r="E919" t="inlineStr">
        <is>
          <t>Furniture</t>
        </is>
      </c>
      <c r="F919" t="inlineStr">
        <is>
          <t>Bookcase</t>
        </is>
      </c>
      <c r="G919" t="inlineStr">
        <is>
          <t>Same Day</t>
        </is>
      </c>
      <c r="H919" t="n">
        <v>11</v>
      </c>
      <c r="I919" s="11" t="n">
        <v>781.4400000000001</v>
      </c>
      <c r="J919" s="12" t="n">
        <v>0.2</v>
      </c>
      <c r="K919" s="11" t="n">
        <v>6876.67</v>
      </c>
      <c r="L919" s="11" t="n">
        <v>171.06</v>
      </c>
      <c r="M919" s="12" t="n">
        <v>0.0249</v>
      </c>
    </row>
    <row r="920">
      <c r="A920" t="inlineStr">
        <is>
          <t>ORD-11621</t>
        </is>
      </c>
      <c r="B920" s="10" t="inlineStr">
        <is>
          <t>2024-11-17</t>
        </is>
      </c>
      <c r="C920" t="inlineStr">
        <is>
          <t>Customer 30</t>
        </is>
      </c>
      <c r="D920" t="inlineStr">
        <is>
          <t>South</t>
        </is>
      </c>
      <c r="E920" t="inlineStr">
        <is>
          <t>Furniture</t>
        </is>
      </c>
      <c r="F920" t="inlineStr">
        <is>
          <t>Table Lamp</t>
        </is>
      </c>
      <c r="G920" t="inlineStr">
        <is>
          <t>First Class</t>
        </is>
      </c>
      <c r="H920" t="n">
        <v>4</v>
      </c>
      <c r="I920" s="11" t="n">
        <v>1187.97</v>
      </c>
      <c r="J920" s="12" t="n">
        <v>0</v>
      </c>
      <c r="K920" s="11" t="n">
        <v>4751.88</v>
      </c>
      <c r="L920" s="11" t="n">
        <v>1317.99</v>
      </c>
      <c r="M920" s="12" t="n">
        <v>0.2774</v>
      </c>
    </row>
    <row r="921">
      <c r="A921" t="inlineStr">
        <is>
          <t>ORD-10264</t>
        </is>
      </c>
      <c r="B921" s="10" t="inlineStr">
        <is>
          <t>2024-11-17</t>
        </is>
      </c>
      <c r="C921" t="inlineStr">
        <is>
          <t>Customer 145</t>
        </is>
      </c>
      <c r="D921" t="inlineStr">
        <is>
          <t>West</t>
        </is>
      </c>
      <c r="E921" t="inlineStr">
        <is>
          <t>Office Supplies</t>
        </is>
      </c>
      <c r="F921" t="inlineStr">
        <is>
          <t>Paper</t>
        </is>
      </c>
      <c r="G921" t="inlineStr">
        <is>
          <t>First Class</t>
        </is>
      </c>
      <c r="H921" t="n">
        <v>4</v>
      </c>
      <c r="I921" s="11" t="n">
        <v>892.77</v>
      </c>
      <c r="J921" s="12" t="n">
        <v>0</v>
      </c>
      <c r="K921" s="11" t="n">
        <v>3571.08</v>
      </c>
      <c r="L921" s="11" t="n">
        <v>748.45</v>
      </c>
      <c r="M921" s="12" t="n">
        <v>0.2096</v>
      </c>
    </row>
    <row r="922">
      <c r="A922" t="inlineStr">
        <is>
          <t>ORD-11176</t>
        </is>
      </c>
      <c r="B922" s="10" t="inlineStr">
        <is>
          <t>2024-11-17</t>
        </is>
      </c>
      <c r="C922" t="inlineStr">
        <is>
          <t>Customer 99</t>
        </is>
      </c>
      <c r="D922" t="inlineStr">
        <is>
          <t>East</t>
        </is>
      </c>
      <c r="E922" t="inlineStr">
        <is>
          <t>Furniture</t>
        </is>
      </c>
      <c r="F922" t="inlineStr">
        <is>
          <t>Chair</t>
        </is>
      </c>
      <c r="G922" t="inlineStr">
        <is>
          <t>Same Day</t>
        </is>
      </c>
      <c r="H922" t="n">
        <v>1</v>
      </c>
      <c r="I922" s="11" t="n">
        <v>611.6900000000001</v>
      </c>
      <c r="J922" s="12" t="n">
        <v>0</v>
      </c>
      <c r="K922" s="11" t="n">
        <v>611.6900000000001</v>
      </c>
      <c r="L922" s="11" t="n">
        <v>131.09</v>
      </c>
      <c r="M922" s="12" t="n">
        <v>0.2143</v>
      </c>
    </row>
    <row r="923">
      <c r="A923" t="inlineStr">
        <is>
          <t>ORD-10149</t>
        </is>
      </c>
      <c r="B923" s="10" t="inlineStr">
        <is>
          <t>2024-11-17</t>
        </is>
      </c>
      <c r="C923" t="inlineStr">
        <is>
          <t>Customer 42</t>
        </is>
      </c>
      <c r="D923" t="inlineStr">
        <is>
          <t>West</t>
        </is>
      </c>
      <c r="E923" t="inlineStr">
        <is>
          <t>Furniture</t>
        </is>
      </c>
      <c r="F923" t="inlineStr">
        <is>
          <t>Desk</t>
        </is>
      </c>
      <c r="G923" t="inlineStr">
        <is>
          <t>First Class</t>
        </is>
      </c>
      <c r="H923" t="n">
        <v>7</v>
      </c>
      <c r="I923" s="11" t="n">
        <v>387.99</v>
      </c>
      <c r="J923" s="12" t="n">
        <v>0.3</v>
      </c>
      <c r="K923" s="11" t="n">
        <v>1901.15</v>
      </c>
      <c r="L923" s="11" t="n">
        <v>163.26</v>
      </c>
      <c r="M923" s="12" t="n">
        <v>0.0859</v>
      </c>
    </row>
    <row r="924">
      <c r="A924" t="inlineStr">
        <is>
          <t>ORD-11189</t>
        </is>
      </c>
      <c r="B924" s="10" t="inlineStr">
        <is>
          <t>2024-11-17</t>
        </is>
      </c>
      <c r="C924" t="inlineStr">
        <is>
          <t>Customer 157</t>
        </is>
      </c>
      <c r="D924" t="inlineStr">
        <is>
          <t>North</t>
        </is>
      </c>
      <c r="E924" t="inlineStr">
        <is>
          <t>Furniture</t>
        </is>
      </c>
      <c r="F924" t="inlineStr">
        <is>
          <t>Desk</t>
        </is>
      </c>
      <c r="G924" t="inlineStr">
        <is>
          <t>Second Class</t>
        </is>
      </c>
      <c r="H924" t="n">
        <v>3</v>
      </c>
      <c r="I924" s="11" t="n">
        <v>1185.51</v>
      </c>
      <c r="J924" s="12" t="n">
        <v>0</v>
      </c>
      <c r="K924" s="11" t="n">
        <v>3556.53</v>
      </c>
      <c r="L924" s="11" t="n">
        <v>794.54</v>
      </c>
      <c r="M924" s="12" t="n">
        <v>0.2234</v>
      </c>
    </row>
    <row r="925">
      <c r="A925" t="inlineStr">
        <is>
          <t>ORD-10738</t>
        </is>
      </c>
      <c r="B925" s="10" t="inlineStr">
        <is>
          <t>2024-11-18</t>
        </is>
      </c>
      <c r="C925" t="inlineStr">
        <is>
          <t>Customer 81</t>
        </is>
      </c>
      <c r="D925" t="inlineStr">
        <is>
          <t>West</t>
        </is>
      </c>
      <c r="E925" t="inlineStr">
        <is>
          <t>Office Supplies</t>
        </is>
      </c>
      <c r="F925" t="inlineStr">
        <is>
          <t>Binder</t>
        </is>
      </c>
      <c r="G925" t="inlineStr">
        <is>
          <t>Standard Class</t>
        </is>
      </c>
      <c r="H925" t="n">
        <v>6</v>
      </c>
      <c r="I925" s="11" t="n">
        <v>326.11</v>
      </c>
      <c r="J925" s="12" t="n">
        <v>0.1</v>
      </c>
      <c r="K925" s="11" t="n">
        <v>1760.99</v>
      </c>
      <c r="L925" s="11" t="n">
        <v>453.32</v>
      </c>
      <c r="M925" s="12" t="n">
        <v>0.2574</v>
      </c>
    </row>
    <row r="926">
      <c r="A926" t="inlineStr">
        <is>
          <t>ORD-11795</t>
        </is>
      </c>
      <c r="B926" s="10" t="inlineStr">
        <is>
          <t>2024-11-18</t>
        </is>
      </c>
      <c r="C926" t="inlineStr">
        <is>
          <t>Customer 165</t>
        </is>
      </c>
      <c r="D926" t="inlineStr">
        <is>
          <t>South</t>
        </is>
      </c>
      <c r="E926" t="inlineStr">
        <is>
          <t>Technology</t>
        </is>
      </c>
      <c r="F926" t="inlineStr">
        <is>
          <t>Monitor</t>
        </is>
      </c>
      <c r="G926" t="inlineStr">
        <is>
          <t>Standard Class</t>
        </is>
      </c>
      <c r="H926" t="n">
        <v>1</v>
      </c>
      <c r="I926" s="11" t="n">
        <v>182.15</v>
      </c>
      <c r="J926" s="12" t="n">
        <v>0.2</v>
      </c>
      <c r="K926" s="11" t="n">
        <v>145.72</v>
      </c>
      <c r="L926" s="11" t="n">
        <v>50.29</v>
      </c>
      <c r="M926" s="12" t="n">
        <v>0.3451</v>
      </c>
    </row>
    <row r="927">
      <c r="A927" t="inlineStr">
        <is>
          <t>ORD-11071</t>
        </is>
      </c>
      <c r="B927" s="10" t="inlineStr">
        <is>
          <t>2024-11-18</t>
        </is>
      </c>
      <c r="C927" t="inlineStr">
        <is>
          <t>Customer 198</t>
        </is>
      </c>
      <c r="D927" t="inlineStr">
        <is>
          <t>North</t>
        </is>
      </c>
      <c r="E927" t="inlineStr">
        <is>
          <t>Technology</t>
        </is>
      </c>
      <c r="F927" t="inlineStr">
        <is>
          <t>Monitor</t>
        </is>
      </c>
      <c r="G927" t="inlineStr">
        <is>
          <t>Same Day</t>
        </is>
      </c>
      <c r="H927" t="n">
        <v>10</v>
      </c>
      <c r="I927" s="11" t="n">
        <v>172.73</v>
      </c>
      <c r="J927" s="12" t="n">
        <v>0</v>
      </c>
      <c r="K927" s="11" t="n">
        <v>1727.3</v>
      </c>
      <c r="L927" s="11" t="n">
        <v>617.8200000000001</v>
      </c>
      <c r="M927" s="12" t="n">
        <v>0.3577</v>
      </c>
    </row>
    <row r="928">
      <c r="A928" t="inlineStr">
        <is>
          <t>ORD-11824</t>
        </is>
      </c>
      <c r="B928" s="10" t="inlineStr">
        <is>
          <t>2024-11-19</t>
        </is>
      </c>
      <c r="C928" t="inlineStr">
        <is>
          <t>Customer 122</t>
        </is>
      </c>
      <c r="D928" t="inlineStr">
        <is>
          <t>East</t>
        </is>
      </c>
      <c r="E928" t="inlineStr">
        <is>
          <t>Office Supplies</t>
        </is>
      </c>
      <c r="F928" t="inlineStr">
        <is>
          <t>Pens (Box)</t>
        </is>
      </c>
      <c r="G928" t="inlineStr">
        <is>
          <t>First Class</t>
        </is>
      </c>
      <c r="H928" t="n">
        <v>10</v>
      </c>
      <c r="I928" s="11" t="n">
        <v>103.98</v>
      </c>
      <c r="J928" s="12" t="n">
        <v>0.3</v>
      </c>
      <c r="K928" s="11" t="n">
        <v>727.86</v>
      </c>
      <c r="L928" s="11" t="n">
        <v>-99.55</v>
      </c>
      <c r="M928" s="12" t="n">
        <v>-0.1368</v>
      </c>
    </row>
    <row r="929">
      <c r="A929" t="inlineStr">
        <is>
          <t>ORD-11547</t>
        </is>
      </c>
      <c r="B929" s="10" t="inlineStr">
        <is>
          <t>2024-11-19</t>
        </is>
      </c>
      <c r="C929" t="inlineStr">
        <is>
          <t>Customer 23</t>
        </is>
      </c>
      <c r="D929" t="inlineStr">
        <is>
          <t>North</t>
        </is>
      </c>
      <c r="E929" t="inlineStr">
        <is>
          <t>Office Supplies</t>
        </is>
      </c>
      <c r="F929" t="inlineStr">
        <is>
          <t>Paper</t>
        </is>
      </c>
      <c r="G929" t="inlineStr">
        <is>
          <t>Standard Class</t>
        </is>
      </c>
      <c r="H929" t="n">
        <v>6</v>
      </c>
      <c r="I929" s="11" t="n">
        <v>1077.57</v>
      </c>
      <c r="J929" s="12" t="n">
        <v>0</v>
      </c>
      <c r="K929" s="11" t="n">
        <v>6465.42</v>
      </c>
      <c r="L929" s="11" t="n">
        <v>2463.01</v>
      </c>
      <c r="M929" s="12" t="n">
        <v>0.381</v>
      </c>
    </row>
    <row r="930">
      <c r="A930" t="inlineStr">
        <is>
          <t>ORD-10850</t>
        </is>
      </c>
      <c r="B930" s="10" t="inlineStr">
        <is>
          <t>2024-11-19</t>
        </is>
      </c>
      <c r="C930" t="inlineStr">
        <is>
          <t>Customer 120</t>
        </is>
      </c>
      <c r="D930" t="inlineStr">
        <is>
          <t>North</t>
        </is>
      </c>
      <c r="E930" t="inlineStr">
        <is>
          <t>Office Supplies</t>
        </is>
      </c>
      <c r="F930" t="inlineStr">
        <is>
          <t>Paper</t>
        </is>
      </c>
      <c r="G930" t="inlineStr">
        <is>
          <t>Standard Class</t>
        </is>
      </c>
      <c r="H930" t="n">
        <v>7</v>
      </c>
      <c r="I930" s="11" t="n">
        <v>377.57</v>
      </c>
      <c r="J930" s="12" t="n">
        <v>0</v>
      </c>
      <c r="K930" s="11" t="n">
        <v>2642.99</v>
      </c>
      <c r="L930" s="11" t="n">
        <v>752.99</v>
      </c>
      <c r="M930" s="12" t="n">
        <v>0.2849</v>
      </c>
    </row>
    <row r="931">
      <c r="A931" t="inlineStr">
        <is>
          <t>ORD-10453</t>
        </is>
      </c>
      <c r="B931" s="10" t="inlineStr">
        <is>
          <t>2024-11-20</t>
        </is>
      </c>
      <c r="C931" t="inlineStr">
        <is>
          <t>Customer 138</t>
        </is>
      </c>
      <c r="D931" t="inlineStr">
        <is>
          <t>North</t>
        </is>
      </c>
      <c r="E931" t="inlineStr">
        <is>
          <t>Furniture</t>
        </is>
      </c>
      <c r="F931" t="inlineStr">
        <is>
          <t>Bookcase</t>
        </is>
      </c>
      <c r="G931" t="inlineStr">
        <is>
          <t>Second Class</t>
        </is>
      </c>
      <c r="H931" t="n">
        <v>7</v>
      </c>
      <c r="I931" s="11" t="n">
        <v>458.76</v>
      </c>
      <c r="J931" s="12" t="n">
        <v>0.2</v>
      </c>
      <c r="K931" s="11" t="n">
        <v>2569.06</v>
      </c>
      <c r="L931" s="11" t="n">
        <v>103.88</v>
      </c>
      <c r="M931" s="12" t="n">
        <v>0.0404</v>
      </c>
    </row>
    <row r="932">
      <c r="A932" t="inlineStr">
        <is>
          <t>ORD-11624</t>
        </is>
      </c>
      <c r="B932" s="10" t="inlineStr">
        <is>
          <t>2024-11-20</t>
        </is>
      </c>
      <c r="C932" t="inlineStr">
        <is>
          <t>Customer 138</t>
        </is>
      </c>
      <c r="D932" t="inlineStr">
        <is>
          <t>North</t>
        </is>
      </c>
      <c r="E932" t="inlineStr">
        <is>
          <t>Technology</t>
        </is>
      </c>
      <c r="F932" t="inlineStr">
        <is>
          <t>Printer</t>
        </is>
      </c>
      <c r="G932" t="inlineStr">
        <is>
          <t>Second Class</t>
        </is>
      </c>
      <c r="H932" t="n">
        <v>4</v>
      </c>
      <c r="I932" s="11" t="n">
        <v>980.8</v>
      </c>
      <c r="J932" s="12" t="n">
        <v>0</v>
      </c>
      <c r="K932" s="11" t="n">
        <v>3923.2</v>
      </c>
      <c r="L932" s="11" t="n">
        <v>1500.65</v>
      </c>
      <c r="M932" s="12" t="n">
        <v>0.3825</v>
      </c>
    </row>
    <row r="933">
      <c r="A933" t="inlineStr">
        <is>
          <t>ORD-11915</t>
        </is>
      </c>
      <c r="B933" s="10" t="inlineStr">
        <is>
          <t>2024-11-21</t>
        </is>
      </c>
      <c r="C933" t="inlineStr">
        <is>
          <t>Customer 53</t>
        </is>
      </c>
      <c r="D933" t="inlineStr">
        <is>
          <t>South</t>
        </is>
      </c>
      <c r="E933" t="inlineStr">
        <is>
          <t>Technology</t>
        </is>
      </c>
      <c r="F933" t="inlineStr">
        <is>
          <t>Laptop</t>
        </is>
      </c>
      <c r="G933" t="inlineStr">
        <is>
          <t>Standard Class</t>
        </is>
      </c>
      <c r="H933" t="n">
        <v>1</v>
      </c>
      <c r="I933" s="11" t="n">
        <v>657.1</v>
      </c>
      <c r="J933" s="12" t="n">
        <v>0</v>
      </c>
      <c r="K933" s="11" t="n">
        <v>657.1</v>
      </c>
      <c r="L933" s="11" t="n">
        <v>154.24</v>
      </c>
      <c r="M933" s="12" t="n">
        <v>0.2347</v>
      </c>
    </row>
    <row r="934">
      <c r="A934" t="inlineStr">
        <is>
          <t>ORD-10276</t>
        </is>
      </c>
      <c r="B934" s="10" t="inlineStr">
        <is>
          <t>2024-11-21</t>
        </is>
      </c>
      <c r="C934" t="inlineStr">
        <is>
          <t>Customer 58</t>
        </is>
      </c>
      <c r="D934" t="inlineStr">
        <is>
          <t>North</t>
        </is>
      </c>
      <c r="E934" t="inlineStr">
        <is>
          <t>Technology</t>
        </is>
      </c>
      <c r="F934" t="inlineStr">
        <is>
          <t>Wireless Mouse</t>
        </is>
      </c>
      <c r="G934" t="inlineStr">
        <is>
          <t>Standard Class</t>
        </is>
      </c>
      <c r="H934" t="n">
        <v>6</v>
      </c>
      <c r="I934" s="11" t="n">
        <v>643.55</v>
      </c>
      <c r="J934" s="12" t="n">
        <v>0</v>
      </c>
      <c r="K934" s="11" t="n">
        <v>2745.27</v>
      </c>
      <c r="L934" s="11" t="n">
        <v>628.6900000000001</v>
      </c>
      <c r="M934" s="12" t="n">
        <v>0.229</v>
      </c>
    </row>
    <row r="935">
      <c r="A935" t="inlineStr">
        <is>
          <t>ORD-11362</t>
        </is>
      </c>
      <c r="B935" s="10" t="inlineStr">
        <is>
          <t>2024-11-23</t>
        </is>
      </c>
      <c r="C935" t="inlineStr">
        <is>
          <t>Customer 189</t>
        </is>
      </c>
      <c r="D935" t="inlineStr">
        <is>
          <t>North</t>
        </is>
      </c>
      <c r="E935" t="inlineStr">
        <is>
          <t>Office Supplies</t>
        </is>
      </c>
      <c r="F935" t="inlineStr">
        <is>
          <t>Stapler</t>
        </is>
      </c>
      <c r="G935" t="inlineStr">
        <is>
          <t>Second Class</t>
        </is>
      </c>
      <c r="H935" t="n">
        <v>5</v>
      </c>
      <c r="I935" s="11" t="n">
        <v>193.68</v>
      </c>
      <c r="J935" s="12" t="n">
        <v>0</v>
      </c>
      <c r="K935" s="11" t="n">
        <v>968.4</v>
      </c>
      <c r="L935" s="11" t="n">
        <v>314.34</v>
      </c>
      <c r="M935" s="12" t="n">
        <v>0.3246</v>
      </c>
    </row>
    <row r="936">
      <c r="A936" t="inlineStr">
        <is>
          <t>ORD-11988</t>
        </is>
      </c>
      <c r="B936" s="10" t="inlineStr">
        <is>
          <t>2024-11-23</t>
        </is>
      </c>
      <c r="C936" t="inlineStr">
        <is>
          <t>Customer 159</t>
        </is>
      </c>
      <c r="D936" t="inlineStr">
        <is>
          <t>East</t>
        </is>
      </c>
      <c r="E936" t="inlineStr">
        <is>
          <t>Office Supplies</t>
        </is>
      </c>
      <c r="F936" t="inlineStr">
        <is>
          <t>Stapler</t>
        </is>
      </c>
      <c r="G936" t="inlineStr">
        <is>
          <t>Second Class</t>
        </is>
      </c>
      <c r="H936" t="n">
        <v>6</v>
      </c>
      <c r="I936" s="11" t="n">
        <v>469.38</v>
      </c>
      <c r="J936" s="12" t="n">
        <v>0</v>
      </c>
      <c r="K936" s="11" t="n">
        <v>2816.28</v>
      </c>
      <c r="L936" s="11" t="n">
        <v>529.75</v>
      </c>
      <c r="M936" s="12" t="n">
        <v>0.1881</v>
      </c>
    </row>
    <row r="937">
      <c r="A937" t="inlineStr">
        <is>
          <t>ORD-10273</t>
        </is>
      </c>
      <c r="B937" s="10" t="inlineStr">
        <is>
          <t>2024-11-23</t>
        </is>
      </c>
      <c r="C937" t="inlineStr">
        <is>
          <t>Customer 63</t>
        </is>
      </c>
      <c r="D937" t="inlineStr">
        <is>
          <t>South</t>
        </is>
      </c>
      <c r="E937" t="inlineStr">
        <is>
          <t>Technology</t>
        </is>
      </c>
      <c r="F937" t="inlineStr">
        <is>
          <t>Printer</t>
        </is>
      </c>
      <c r="G937" t="inlineStr">
        <is>
          <t>Same Day</t>
        </is>
      </c>
      <c r="H937" t="n">
        <v>10</v>
      </c>
      <c r="I937" s="11" t="n">
        <v>367.33</v>
      </c>
      <c r="J937" s="12" t="n">
        <v>0</v>
      </c>
      <c r="K937" s="11" t="n">
        <v>3673.3</v>
      </c>
      <c r="L937" s="11" t="n">
        <v>569.48</v>
      </c>
      <c r="M937" s="12" t="n">
        <v>0.155</v>
      </c>
    </row>
    <row r="938">
      <c r="A938" t="inlineStr">
        <is>
          <t>ORD-10304</t>
        </is>
      </c>
      <c r="B938" s="10" t="inlineStr">
        <is>
          <t>2024-11-23</t>
        </is>
      </c>
      <c r="C938" t="inlineStr">
        <is>
          <t>Customer 3</t>
        </is>
      </c>
      <c r="D938" t="inlineStr">
        <is>
          <t>East</t>
        </is>
      </c>
      <c r="E938" t="inlineStr">
        <is>
          <t>Office Supplies</t>
        </is>
      </c>
      <c r="F938" t="inlineStr">
        <is>
          <t>Pens (Box)</t>
        </is>
      </c>
      <c r="G938" t="inlineStr">
        <is>
          <t>First Class</t>
        </is>
      </c>
      <c r="H938" t="n">
        <v>2</v>
      </c>
      <c r="I938" s="11" t="n">
        <v>338.99</v>
      </c>
      <c r="J938" s="12" t="n">
        <v>0.15</v>
      </c>
      <c r="K938" s="11" t="n">
        <v>576.28</v>
      </c>
      <c r="L938" s="11" t="n">
        <v>144.77</v>
      </c>
      <c r="M938" s="12" t="n">
        <v>0.2512</v>
      </c>
    </row>
    <row r="939">
      <c r="A939" t="inlineStr">
        <is>
          <t>ORD-11627</t>
        </is>
      </c>
      <c r="B939" s="10" t="inlineStr">
        <is>
          <t>2024-11-23</t>
        </is>
      </c>
      <c r="C939" t="inlineStr">
        <is>
          <t>Customer 179</t>
        </is>
      </c>
      <c r="D939" t="inlineStr">
        <is>
          <t>West</t>
        </is>
      </c>
      <c r="E939" t="inlineStr">
        <is>
          <t>Furniture</t>
        </is>
      </c>
      <c r="F939" t="inlineStr">
        <is>
          <t>Table Lamp</t>
        </is>
      </c>
      <c r="G939" t="inlineStr">
        <is>
          <t>Standard Class</t>
        </is>
      </c>
      <c r="H939" t="n">
        <v>3</v>
      </c>
      <c r="I939" s="11" t="n">
        <v>955.75</v>
      </c>
      <c r="J939" s="12" t="n">
        <v>0</v>
      </c>
      <c r="K939" s="11" t="n">
        <v>2867.25</v>
      </c>
      <c r="L939" s="11" t="n">
        <v>673.91</v>
      </c>
      <c r="M939" s="12" t="n">
        <v>0.235</v>
      </c>
    </row>
    <row r="940">
      <c r="A940" t="inlineStr">
        <is>
          <t>ORD-10513</t>
        </is>
      </c>
      <c r="B940" s="10" t="inlineStr">
        <is>
          <t>2024-11-23</t>
        </is>
      </c>
      <c r="C940" t="inlineStr">
        <is>
          <t>Customer 53</t>
        </is>
      </c>
      <c r="D940" t="inlineStr">
        <is>
          <t>South</t>
        </is>
      </c>
      <c r="E940" t="inlineStr">
        <is>
          <t>Office Supplies</t>
        </is>
      </c>
      <c r="F940" t="inlineStr">
        <is>
          <t>Binder</t>
        </is>
      </c>
      <c r="G940" t="inlineStr">
        <is>
          <t>First Class</t>
        </is>
      </c>
      <c r="H940" t="n">
        <v>10</v>
      </c>
      <c r="I940" s="11" t="n">
        <v>677.22</v>
      </c>
      <c r="J940" s="12" t="n">
        <v>0</v>
      </c>
      <c r="K940" s="11" t="n">
        <v>6772.2</v>
      </c>
      <c r="L940" s="11" t="n">
        <v>1052.31</v>
      </c>
      <c r="M940" s="12" t="n">
        <v>0.1554</v>
      </c>
    </row>
    <row r="941">
      <c r="A941" t="inlineStr">
        <is>
          <t>ORD-10559</t>
        </is>
      </c>
      <c r="B941" s="10" t="inlineStr">
        <is>
          <t>2024-11-23</t>
        </is>
      </c>
      <c r="C941" t="inlineStr">
        <is>
          <t>Customer 141</t>
        </is>
      </c>
      <c r="D941" t="inlineStr">
        <is>
          <t>West</t>
        </is>
      </c>
      <c r="E941" t="inlineStr">
        <is>
          <t>Furniture</t>
        </is>
      </c>
      <c r="F941" t="inlineStr">
        <is>
          <t>Bookcase</t>
        </is>
      </c>
      <c r="G941" t="inlineStr">
        <is>
          <t>Standard Class</t>
        </is>
      </c>
      <c r="H941" t="n">
        <v>6</v>
      </c>
      <c r="I941" s="11" t="n">
        <v>581.595</v>
      </c>
      <c r="J941" s="12" t="n">
        <v>0</v>
      </c>
      <c r="K941" s="11" t="n">
        <v>5820.93</v>
      </c>
      <c r="L941" s="11" t="n">
        <v>-126.72</v>
      </c>
      <c r="M941" s="12" t="n">
        <v>-0.0218</v>
      </c>
    </row>
    <row r="942">
      <c r="A942" t="inlineStr">
        <is>
          <t>ORD-11877</t>
        </is>
      </c>
      <c r="B942" s="10" t="inlineStr">
        <is>
          <t>2024-11-24</t>
        </is>
      </c>
      <c r="C942" t="inlineStr">
        <is>
          <t>Customer 37</t>
        </is>
      </c>
      <c r="D942" t="inlineStr">
        <is>
          <t>West</t>
        </is>
      </c>
      <c r="E942" t="inlineStr">
        <is>
          <t>Technology</t>
        </is>
      </c>
      <c r="F942" t="inlineStr">
        <is>
          <t>Monitor</t>
        </is>
      </c>
      <c r="G942" t="inlineStr">
        <is>
          <t>First Class</t>
        </is>
      </c>
      <c r="H942" t="n">
        <v>9</v>
      </c>
      <c r="I942" s="11" t="n">
        <v>1199.94</v>
      </c>
      <c r="J942" s="12" t="n">
        <v>0</v>
      </c>
      <c r="K942" s="11" t="n">
        <v>10799.46</v>
      </c>
      <c r="L942" s="11" t="n">
        <v>4635.06</v>
      </c>
      <c r="M942" s="12" t="n">
        <v>0.4292</v>
      </c>
    </row>
    <row r="943">
      <c r="A943" t="inlineStr">
        <is>
          <t>ORD-11542</t>
        </is>
      </c>
      <c r="B943" s="10" t="inlineStr">
        <is>
          <t>2024-11-24</t>
        </is>
      </c>
      <c r="C943" t="inlineStr">
        <is>
          <t>Customer 59</t>
        </is>
      </c>
      <c r="D943" t="inlineStr">
        <is>
          <t>East</t>
        </is>
      </c>
      <c r="E943" t="inlineStr">
        <is>
          <t>Furniture</t>
        </is>
      </c>
      <c r="F943" t="inlineStr">
        <is>
          <t>Bookcase</t>
        </is>
      </c>
      <c r="G943" t="inlineStr">
        <is>
          <t>Standard Class</t>
        </is>
      </c>
      <c r="H943" t="n">
        <v>4</v>
      </c>
      <c r="I943" s="11" t="n">
        <v>378.28</v>
      </c>
      <c r="J943" s="12" t="n">
        <v>0</v>
      </c>
      <c r="K943" s="11" t="n">
        <v>1513.12</v>
      </c>
      <c r="L943" s="11" t="n">
        <v>637.67</v>
      </c>
      <c r="M943" s="12" t="n">
        <v>0.4214</v>
      </c>
    </row>
    <row r="944">
      <c r="A944" t="inlineStr">
        <is>
          <t>ORD-11737</t>
        </is>
      </c>
      <c r="B944" s="10" t="inlineStr">
        <is>
          <t>2024-11-25</t>
        </is>
      </c>
      <c r="C944" t="inlineStr">
        <is>
          <t>Customer 199</t>
        </is>
      </c>
      <c r="D944" t="inlineStr">
        <is>
          <t>South</t>
        </is>
      </c>
      <c r="E944" t="inlineStr">
        <is>
          <t>Technology</t>
        </is>
      </c>
      <c r="F944" t="inlineStr">
        <is>
          <t>Wireless Mouse</t>
        </is>
      </c>
      <c r="G944" t="inlineStr">
        <is>
          <t>Same Day</t>
        </is>
      </c>
      <c r="H944" t="n">
        <v>3</v>
      </c>
      <c r="I944" s="11" t="n">
        <v>172.55</v>
      </c>
      <c r="J944" s="12" t="n">
        <v>0.1</v>
      </c>
      <c r="K944" s="11" t="n">
        <v>465.89</v>
      </c>
      <c r="L944" s="11" t="n">
        <v>176.58</v>
      </c>
      <c r="M944" s="12" t="n">
        <v>0.379</v>
      </c>
    </row>
    <row r="945">
      <c r="A945" t="inlineStr">
        <is>
          <t>ORD-10783</t>
        </is>
      </c>
      <c r="B945" s="10" t="inlineStr">
        <is>
          <t>2024-11-25</t>
        </is>
      </c>
      <c r="C945" t="inlineStr">
        <is>
          <t>Customer 24</t>
        </is>
      </c>
      <c r="D945" t="inlineStr">
        <is>
          <t>West</t>
        </is>
      </c>
      <c r="E945" t="inlineStr">
        <is>
          <t>Office Supplies</t>
        </is>
      </c>
      <c r="F945" t="inlineStr">
        <is>
          <t>Binder</t>
        </is>
      </c>
      <c r="G945" t="inlineStr">
        <is>
          <t>Second Class</t>
        </is>
      </c>
      <c r="H945" t="n">
        <v>1</v>
      </c>
      <c r="I945" s="11" t="n">
        <v>1040.07</v>
      </c>
      <c r="J945" s="12" t="n">
        <v>0</v>
      </c>
      <c r="K945" s="11" t="n">
        <v>1040.07</v>
      </c>
      <c r="L945" s="11" t="n">
        <v>326.93</v>
      </c>
      <c r="M945" s="12" t="n">
        <v>0.3143</v>
      </c>
    </row>
    <row r="946">
      <c r="A946" t="inlineStr">
        <is>
          <t>ORD-10828</t>
        </is>
      </c>
      <c r="B946" s="10" t="inlineStr">
        <is>
          <t>2024-11-25</t>
        </is>
      </c>
      <c r="C946" t="inlineStr">
        <is>
          <t>Customer 129</t>
        </is>
      </c>
      <c r="D946" t="inlineStr">
        <is>
          <t>East</t>
        </is>
      </c>
      <c r="E946" t="inlineStr">
        <is>
          <t>Office Supplies</t>
        </is>
      </c>
      <c r="F946" t="inlineStr">
        <is>
          <t>Paper</t>
        </is>
      </c>
      <c r="G946" t="inlineStr">
        <is>
          <t>Standard Class</t>
        </is>
      </c>
      <c r="H946" t="n">
        <v>2</v>
      </c>
      <c r="I946" s="11" t="n">
        <v>689.85</v>
      </c>
      <c r="J946" s="12" t="n">
        <v>0.3</v>
      </c>
      <c r="K946" s="11" t="n">
        <v>965.79</v>
      </c>
      <c r="L946" s="11" t="n">
        <v>263.42</v>
      </c>
      <c r="M946" s="12" t="n">
        <v>0.2728</v>
      </c>
    </row>
    <row r="947">
      <c r="A947" t="inlineStr">
        <is>
          <t>ORD-11674</t>
        </is>
      </c>
      <c r="B947" s="10" t="inlineStr">
        <is>
          <t>2024-11-25</t>
        </is>
      </c>
      <c r="C947" t="inlineStr">
        <is>
          <t>Customer 109</t>
        </is>
      </c>
      <c r="D947" t="inlineStr">
        <is>
          <t>South</t>
        </is>
      </c>
      <c r="E947" t="inlineStr">
        <is>
          <t>Technology</t>
        </is>
      </c>
      <c r="F947" t="inlineStr">
        <is>
          <t>Monitor</t>
        </is>
      </c>
      <c r="G947" t="inlineStr">
        <is>
          <t>Second Class</t>
        </is>
      </c>
      <c r="H947" t="n">
        <v>8</v>
      </c>
      <c r="I947" s="11" t="n">
        <v>267.76</v>
      </c>
      <c r="J947" s="12" t="n">
        <v>0</v>
      </c>
      <c r="K947" s="11" t="n">
        <v>2142.08</v>
      </c>
      <c r="L947" s="11" t="n">
        <v>637.52</v>
      </c>
      <c r="M947" s="12" t="n">
        <v>0.2976</v>
      </c>
    </row>
    <row r="948">
      <c r="A948" t="inlineStr">
        <is>
          <t>ORD-10291</t>
        </is>
      </c>
      <c r="B948" s="10" t="inlineStr">
        <is>
          <t>2024-11-25</t>
        </is>
      </c>
      <c r="C948" t="inlineStr">
        <is>
          <t>Customer 195</t>
        </is>
      </c>
      <c r="D948" t="inlineStr">
        <is>
          <t>West</t>
        </is>
      </c>
      <c r="E948" t="inlineStr">
        <is>
          <t>Office Supplies</t>
        </is>
      </c>
      <c r="F948" t="inlineStr">
        <is>
          <t>Paper</t>
        </is>
      </c>
      <c r="G948" t="inlineStr">
        <is>
          <t>First Class</t>
        </is>
      </c>
      <c r="H948" t="n">
        <v>3</v>
      </c>
      <c r="I948" s="11" t="n">
        <v>833.05</v>
      </c>
      <c r="J948" s="12" t="n">
        <v>0.3</v>
      </c>
      <c r="K948" s="11" t="n">
        <v>1749.4</v>
      </c>
      <c r="L948" s="11" t="n">
        <v>368.1</v>
      </c>
      <c r="M948" s="12" t="n">
        <v>0.2104</v>
      </c>
    </row>
    <row r="949">
      <c r="A949" t="inlineStr">
        <is>
          <t>ORD-11563</t>
        </is>
      </c>
      <c r="B949" s="10" t="inlineStr">
        <is>
          <t>2024-11-26</t>
        </is>
      </c>
      <c r="C949" t="inlineStr">
        <is>
          <t>Customer 177</t>
        </is>
      </c>
      <c r="D949" t="inlineStr">
        <is>
          <t>East</t>
        </is>
      </c>
      <c r="E949" t="inlineStr">
        <is>
          <t>Furniture</t>
        </is>
      </c>
      <c r="F949" t="inlineStr">
        <is>
          <t>Desk</t>
        </is>
      </c>
      <c r="G949" t="inlineStr">
        <is>
          <t>Same Day</t>
        </is>
      </c>
      <c r="H949" t="n">
        <v>8</v>
      </c>
      <c r="I949" s="11" t="n">
        <v>371.33</v>
      </c>
      <c r="J949" s="12" t="n">
        <v>0.15</v>
      </c>
      <c r="K949" s="11" t="n">
        <v>2525.04</v>
      </c>
      <c r="L949" s="11" t="n">
        <v>612.65</v>
      </c>
      <c r="M949" s="12" t="n">
        <v>0.2426</v>
      </c>
    </row>
    <row r="950">
      <c r="A950" t="inlineStr">
        <is>
          <t>ORD-11533</t>
        </is>
      </c>
      <c r="B950" s="10" t="inlineStr">
        <is>
          <t>2024-11-27</t>
        </is>
      </c>
      <c r="C950" t="inlineStr">
        <is>
          <t>Customer 57</t>
        </is>
      </c>
      <c r="D950" t="inlineStr">
        <is>
          <t>East</t>
        </is>
      </c>
      <c r="E950" t="inlineStr">
        <is>
          <t>Office Supplies</t>
        </is>
      </c>
      <c r="F950" t="inlineStr">
        <is>
          <t>Binder</t>
        </is>
      </c>
      <c r="G950" t="inlineStr">
        <is>
          <t>Second Class</t>
        </is>
      </c>
      <c r="H950" t="n">
        <v>11</v>
      </c>
      <c r="I950" s="11" t="n">
        <v>1060.97</v>
      </c>
      <c r="J950" s="12" t="n">
        <v>0</v>
      </c>
      <c r="K950" s="11" t="n">
        <v>11670.67</v>
      </c>
      <c r="L950" s="11" t="n">
        <v>2515.19</v>
      </c>
      <c r="M950" s="12" t="n">
        <v>0.2155</v>
      </c>
    </row>
    <row r="951">
      <c r="A951" t="inlineStr">
        <is>
          <t>ORD-10284</t>
        </is>
      </c>
      <c r="B951" s="10" t="inlineStr">
        <is>
          <t>2024-11-28</t>
        </is>
      </c>
      <c r="C951" t="inlineStr">
        <is>
          <t>Customer 27</t>
        </is>
      </c>
      <c r="D951" t="inlineStr">
        <is>
          <t>South</t>
        </is>
      </c>
      <c r="E951" t="inlineStr">
        <is>
          <t>Office Supplies</t>
        </is>
      </c>
      <c r="F951" t="inlineStr">
        <is>
          <t>Paper</t>
        </is>
      </c>
      <c r="G951" t="inlineStr">
        <is>
          <t>Same Day</t>
        </is>
      </c>
      <c r="H951" t="n">
        <v>7</v>
      </c>
      <c r="I951" s="11" t="n">
        <v>499.65</v>
      </c>
      <c r="J951" s="12" t="n">
        <v>0</v>
      </c>
      <c r="K951" s="11" t="n">
        <v>3497.55</v>
      </c>
      <c r="L951" s="11" t="n">
        <v>739.5700000000001</v>
      </c>
      <c r="M951" s="12" t="n">
        <v>0.2115</v>
      </c>
    </row>
    <row r="952">
      <c r="A952" t="inlineStr">
        <is>
          <t>ORD-11289</t>
        </is>
      </c>
      <c r="B952" s="10" t="inlineStr">
        <is>
          <t>2024-11-29</t>
        </is>
      </c>
      <c r="C952" t="inlineStr">
        <is>
          <t>Customer 170</t>
        </is>
      </c>
      <c r="D952" t="inlineStr">
        <is>
          <t>North</t>
        </is>
      </c>
      <c r="E952" t="inlineStr">
        <is>
          <t>Technology</t>
        </is>
      </c>
      <c r="F952" t="inlineStr">
        <is>
          <t>Wireless Mouse</t>
        </is>
      </c>
      <c r="G952" t="inlineStr">
        <is>
          <t>Standard Class</t>
        </is>
      </c>
      <c r="H952" t="n">
        <v>1</v>
      </c>
      <c r="I952" s="11" t="n">
        <v>343.21</v>
      </c>
      <c r="J952" s="12" t="n">
        <v>0</v>
      </c>
      <c r="K952" s="11" t="n">
        <v>343.21</v>
      </c>
      <c r="L952" s="11" t="n">
        <v>76.28</v>
      </c>
      <c r="M952" s="12" t="n">
        <v>0.2223</v>
      </c>
    </row>
    <row r="953">
      <c r="A953" t="inlineStr">
        <is>
          <t>ORD-10531</t>
        </is>
      </c>
      <c r="B953" s="10" t="inlineStr">
        <is>
          <t>2024-12-01</t>
        </is>
      </c>
      <c r="C953" t="inlineStr">
        <is>
          <t>Customer 189</t>
        </is>
      </c>
      <c r="D953" t="inlineStr">
        <is>
          <t>North</t>
        </is>
      </c>
      <c r="E953" t="inlineStr">
        <is>
          <t>Technology</t>
        </is>
      </c>
      <c r="F953" t="inlineStr">
        <is>
          <t>Monitor</t>
        </is>
      </c>
      <c r="G953" t="inlineStr">
        <is>
          <t>First Class</t>
        </is>
      </c>
      <c r="H953" t="n">
        <v>6</v>
      </c>
      <c r="I953" s="11" t="n">
        <v>1197.19</v>
      </c>
      <c r="J953" s="12" t="n">
        <v>0</v>
      </c>
      <c r="K953" s="11" t="n">
        <v>7183.14</v>
      </c>
      <c r="L953" s="11" t="n">
        <v>1449.65</v>
      </c>
      <c r="M953" s="12" t="n">
        <v>0.2018</v>
      </c>
    </row>
    <row r="954">
      <c r="A954" t="inlineStr">
        <is>
          <t>ORD-10983</t>
        </is>
      </c>
      <c r="B954" s="10" t="inlineStr">
        <is>
          <t>2024-12-01</t>
        </is>
      </c>
      <c r="C954" t="inlineStr">
        <is>
          <t>Customer 125</t>
        </is>
      </c>
      <c r="D954" t="inlineStr">
        <is>
          <t>West</t>
        </is>
      </c>
      <c r="E954" t="inlineStr">
        <is>
          <t>Office Supplies</t>
        </is>
      </c>
      <c r="F954" t="inlineStr">
        <is>
          <t>Paper</t>
        </is>
      </c>
      <c r="G954" t="inlineStr">
        <is>
          <t>Second Class</t>
        </is>
      </c>
      <c r="H954" t="n">
        <v>11</v>
      </c>
      <c r="I954" s="11" t="n">
        <v>1066.76</v>
      </c>
      <c r="J954" s="12" t="n">
        <v>0</v>
      </c>
      <c r="K954" s="11" t="n">
        <v>11734.36</v>
      </c>
      <c r="L954" s="11" t="n">
        <v>3160.41</v>
      </c>
      <c r="M954" s="12" t="n">
        <v>0.2693</v>
      </c>
    </row>
    <row r="955">
      <c r="A955" t="inlineStr">
        <is>
          <t>ORD-11394</t>
        </is>
      </c>
      <c r="B955" s="10" t="inlineStr">
        <is>
          <t>2024-12-02</t>
        </is>
      </c>
      <c r="C955" t="inlineStr">
        <is>
          <t>Customer 137</t>
        </is>
      </c>
      <c r="D955" t="inlineStr">
        <is>
          <t>East</t>
        </is>
      </c>
      <c r="E955" t="inlineStr">
        <is>
          <t>Furniture</t>
        </is>
      </c>
      <c r="F955" t="inlineStr">
        <is>
          <t>Table Lamp</t>
        </is>
      </c>
      <c r="G955" t="inlineStr">
        <is>
          <t>Second Class</t>
        </is>
      </c>
      <c r="H955" t="n">
        <v>9</v>
      </c>
      <c r="I955" s="11" t="n">
        <v>133.51</v>
      </c>
      <c r="J955" s="12" t="n">
        <v>0</v>
      </c>
      <c r="K955" s="11" t="n">
        <v>1201.59</v>
      </c>
      <c r="L955" s="11" t="n">
        <v>429.41</v>
      </c>
      <c r="M955" s="12" t="n">
        <v>0.3574</v>
      </c>
    </row>
    <row r="956">
      <c r="A956" t="inlineStr">
        <is>
          <t>ORD-10454</t>
        </is>
      </c>
      <c r="B956" s="10" t="inlineStr">
        <is>
          <t>2024-12-02</t>
        </is>
      </c>
      <c r="C956" t="inlineStr">
        <is>
          <t>Customer 115</t>
        </is>
      </c>
      <c r="D956" t="inlineStr">
        <is>
          <t>East</t>
        </is>
      </c>
      <c r="E956" t="inlineStr">
        <is>
          <t>Furniture</t>
        </is>
      </c>
      <c r="F956" t="inlineStr">
        <is>
          <t>Table Lamp</t>
        </is>
      </c>
      <c r="G956" t="inlineStr">
        <is>
          <t>Same Day</t>
        </is>
      </c>
      <c r="H956" t="n">
        <v>2</v>
      </c>
      <c r="I956" s="11" t="n">
        <v>772.8200000000001</v>
      </c>
      <c r="J956" s="12" t="n">
        <v>0.2</v>
      </c>
      <c r="K956" s="11" t="n">
        <v>1236.51</v>
      </c>
      <c r="L956" s="11" t="n">
        <v>329.16</v>
      </c>
      <c r="M956" s="12" t="n">
        <v>0.2662</v>
      </c>
    </row>
    <row r="957">
      <c r="A957" t="inlineStr">
        <is>
          <t>ORD-10950</t>
        </is>
      </c>
      <c r="B957" s="10" t="inlineStr">
        <is>
          <t>2024-12-02</t>
        </is>
      </c>
      <c r="C957" t="inlineStr">
        <is>
          <t>Customer 43</t>
        </is>
      </c>
      <c r="D957" t="inlineStr">
        <is>
          <t>East</t>
        </is>
      </c>
      <c r="E957" t="inlineStr">
        <is>
          <t>Furniture</t>
        </is>
      </c>
      <c r="F957" t="inlineStr">
        <is>
          <t>Chair</t>
        </is>
      </c>
      <c r="G957" t="inlineStr">
        <is>
          <t>Standard Class</t>
        </is>
      </c>
      <c r="H957" t="n">
        <v>9</v>
      </c>
      <c r="I957" s="11" t="n">
        <v>269.44</v>
      </c>
      <c r="J957" s="12" t="n">
        <v>0</v>
      </c>
      <c r="K957" s="11" t="n">
        <v>2424.96</v>
      </c>
      <c r="L957" s="11" t="n">
        <v>1190.57</v>
      </c>
      <c r="M957" s="12" t="n">
        <v>0.491</v>
      </c>
    </row>
    <row r="958">
      <c r="A958" t="inlineStr">
        <is>
          <t>ORD-11899</t>
        </is>
      </c>
      <c r="B958" s="10" t="inlineStr">
        <is>
          <t>2024-12-02</t>
        </is>
      </c>
      <c r="C958" t="inlineStr">
        <is>
          <t>Customer 48</t>
        </is>
      </c>
      <c r="D958" t="inlineStr">
        <is>
          <t>West</t>
        </is>
      </c>
      <c r="E958" t="inlineStr">
        <is>
          <t>Furniture</t>
        </is>
      </c>
      <c r="F958" t="inlineStr">
        <is>
          <t>Table Lamp</t>
        </is>
      </c>
      <c r="G958" t="inlineStr">
        <is>
          <t>Same Day</t>
        </is>
      </c>
      <c r="H958" t="n">
        <v>6</v>
      </c>
      <c r="I958" s="11" t="n">
        <v>499.55</v>
      </c>
      <c r="J958" s="12" t="n">
        <v>0.15</v>
      </c>
      <c r="K958" s="11" t="n">
        <v>2547.7</v>
      </c>
      <c r="L958" s="11" t="n">
        <v>375.24</v>
      </c>
      <c r="M958" s="12" t="n">
        <v>0.1473</v>
      </c>
    </row>
    <row r="959">
      <c r="A959" t="inlineStr">
        <is>
          <t>ORD-10455</t>
        </is>
      </c>
      <c r="B959" s="10" t="inlineStr">
        <is>
          <t>2024-12-02</t>
        </is>
      </c>
      <c r="C959" t="inlineStr">
        <is>
          <t>Customer 38</t>
        </is>
      </c>
      <c r="D959" t="inlineStr">
        <is>
          <t>West</t>
        </is>
      </c>
      <c r="E959" t="inlineStr">
        <is>
          <t>Furniture</t>
        </is>
      </c>
      <c r="F959" t="inlineStr">
        <is>
          <t>Table Lamp</t>
        </is>
      </c>
      <c r="G959" t="inlineStr">
        <is>
          <t>Standard Class</t>
        </is>
      </c>
      <c r="H959" t="n">
        <v>8</v>
      </c>
      <c r="I959" s="11" t="n">
        <v>940.49</v>
      </c>
      <c r="J959" s="12" t="n">
        <v>0</v>
      </c>
      <c r="K959" s="11" t="n">
        <v>7523.92</v>
      </c>
      <c r="L959" s="11" t="n">
        <v>2457.03</v>
      </c>
      <c r="M959" s="12" t="n">
        <v>0.3266</v>
      </c>
    </row>
    <row r="960">
      <c r="A960" t="inlineStr">
        <is>
          <t>ORD-11099</t>
        </is>
      </c>
      <c r="B960" s="10" t="inlineStr">
        <is>
          <t>2024-12-03</t>
        </is>
      </c>
      <c r="C960" t="inlineStr">
        <is>
          <t>Customer 101</t>
        </is>
      </c>
      <c r="D960" t="inlineStr">
        <is>
          <t>West</t>
        </is>
      </c>
      <c r="E960" t="inlineStr">
        <is>
          <t>Technology</t>
        </is>
      </c>
      <c r="F960" t="inlineStr">
        <is>
          <t>Wireless Mouse</t>
        </is>
      </c>
      <c r="G960" t="inlineStr">
        <is>
          <t>First Class</t>
        </is>
      </c>
      <c r="H960" t="n">
        <v>6</v>
      </c>
      <c r="I960" s="11" t="n">
        <v>1016.56</v>
      </c>
      <c r="J960" s="12" t="n">
        <v>0</v>
      </c>
      <c r="K960" s="11" t="n">
        <v>6099.36</v>
      </c>
      <c r="L960" s="11" t="n">
        <v>2430.83</v>
      </c>
      <c r="M960" s="12" t="n">
        <v>0.3985</v>
      </c>
    </row>
    <row r="961">
      <c r="A961" t="inlineStr">
        <is>
          <t>ORD-11611</t>
        </is>
      </c>
      <c r="B961" s="10" t="inlineStr">
        <is>
          <t>2024-12-03</t>
        </is>
      </c>
      <c r="C961" t="inlineStr">
        <is>
          <t>Customer 140</t>
        </is>
      </c>
      <c r="D961" t="inlineStr">
        <is>
          <t>South</t>
        </is>
      </c>
      <c r="E961" t="inlineStr">
        <is>
          <t>Technology</t>
        </is>
      </c>
      <c r="F961" t="inlineStr">
        <is>
          <t>Wireless Mouse</t>
        </is>
      </c>
      <c r="G961" t="inlineStr">
        <is>
          <t>First Class</t>
        </is>
      </c>
      <c r="H961" t="n">
        <v>2</v>
      </c>
      <c r="I961" s="11" t="n">
        <v>998.5700000000001</v>
      </c>
      <c r="J961" s="12" t="n">
        <v>0</v>
      </c>
      <c r="K961" s="11" t="n">
        <v>1997.14</v>
      </c>
      <c r="L961" s="11" t="n">
        <v>345.41</v>
      </c>
      <c r="M961" s="12" t="n">
        <v>0.173</v>
      </c>
    </row>
    <row r="962">
      <c r="A962" t="inlineStr">
        <is>
          <t>ORD-10057</t>
        </is>
      </c>
      <c r="B962" s="10" t="inlineStr">
        <is>
          <t>2024-12-03</t>
        </is>
      </c>
      <c r="C962" t="inlineStr">
        <is>
          <t>Customer 79</t>
        </is>
      </c>
      <c r="D962" t="inlineStr">
        <is>
          <t>East</t>
        </is>
      </c>
      <c r="E962" t="inlineStr">
        <is>
          <t>Technology</t>
        </is>
      </c>
      <c r="F962" t="inlineStr">
        <is>
          <t>Printer</t>
        </is>
      </c>
      <c r="G962" t="inlineStr">
        <is>
          <t>Standard Class</t>
        </is>
      </c>
      <c r="H962" t="n">
        <v>6</v>
      </c>
      <c r="I962" s="11" t="n">
        <v>780.83</v>
      </c>
      <c r="J962" s="12" t="n">
        <v>0</v>
      </c>
      <c r="K962" s="11" t="n">
        <v>4997.31</v>
      </c>
      <c r="L962" s="11" t="n">
        <v>1549.45</v>
      </c>
      <c r="M962" s="12" t="n">
        <v>0.3101</v>
      </c>
    </row>
    <row r="963">
      <c r="A963" t="inlineStr">
        <is>
          <t>ORD-10350</t>
        </is>
      </c>
      <c r="B963" s="10" t="inlineStr">
        <is>
          <t>2024-12-03</t>
        </is>
      </c>
      <c r="C963" t="inlineStr">
        <is>
          <t>Customer 3</t>
        </is>
      </c>
      <c r="D963" t="inlineStr">
        <is>
          <t>East</t>
        </is>
      </c>
      <c r="E963" t="inlineStr">
        <is>
          <t>Technology</t>
        </is>
      </c>
      <c r="F963" t="inlineStr">
        <is>
          <t>Printer</t>
        </is>
      </c>
      <c r="G963" t="inlineStr">
        <is>
          <t>Second Class</t>
        </is>
      </c>
      <c r="H963" t="n">
        <v>3</v>
      </c>
      <c r="I963" s="11" t="n">
        <v>395.64</v>
      </c>
      <c r="J963" s="12" t="n">
        <v>0</v>
      </c>
      <c r="K963" s="11" t="n">
        <v>1186.92</v>
      </c>
      <c r="L963" s="11" t="n">
        <v>489.25</v>
      </c>
      <c r="M963" s="12" t="n">
        <v>0.4122</v>
      </c>
    </row>
    <row r="964">
      <c r="A964" t="inlineStr">
        <is>
          <t>ORD-10491</t>
        </is>
      </c>
      <c r="B964" s="10" t="inlineStr">
        <is>
          <t>2024-12-04</t>
        </is>
      </c>
      <c r="C964" t="inlineStr">
        <is>
          <t>Customer 114</t>
        </is>
      </c>
      <c r="D964" t="inlineStr">
        <is>
          <t>South</t>
        </is>
      </c>
      <c r="E964" t="inlineStr">
        <is>
          <t>Technology</t>
        </is>
      </c>
      <c r="F964" t="inlineStr">
        <is>
          <t>Laptop</t>
        </is>
      </c>
      <c r="G964" t="inlineStr">
        <is>
          <t>First Class</t>
        </is>
      </c>
      <c r="H964" t="n">
        <v>7</v>
      </c>
      <c r="I964" s="11" t="n">
        <v>508.16</v>
      </c>
      <c r="J964" s="12" t="n">
        <v>0</v>
      </c>
      <c r="K964" s="11" t="n">
        <v>3557.12</v>
      </c>
      <c r="L964" s="11" t="n">
        <v>1239.01</v>
      </c>
      <c r="M964" s="12" t="n">
        <v>0.3483</v>
      </c>
    </row>
    <row r="965">
      <c r="A965" t="inlineStr">
        <is>
          <t>ORD-10969</t>
        </is>
      </c>
      <c r="B965" s="10" t="inlineStr">
        <is>
          <t>2024-12-04</t>
        </is>
      </c>
      <c r="C965" t="inlineStr">
        <is>
          <t>Customer 71</t>
        </is>
      </c>
      <c r="D965" t="inlineStr">
        <is>
          <t>West</t>
        </is>
      </c>
      <c r="E965" t="inlineStr">
        <is>
          <t>Furniture</t>
        </is>
      </c>
      <c r="F965" t="inlineStr">
        <is>
          <t>Chair</t>
        </is>
      </c>
      <c r="G965" t="inlineStr">
        <is>
          <t>Standard Class</t>
        </is>
      </c>
      <c r="H965" t="n">
        <v>2</v>
      </c>
      <c r="I965" s="11" t="n">
        <v>723.34</v>
      </c>
      <c r="J965" s="12" t="n">
        <v>0.1</v>
      </c>
      <c r="K965" s="11" t="n">
        <v>1302.01</v>
      </c>
      <c r="L965" s="11" t="n">
        <v>177.04</v>
      </c>
      <c r="M965" s="12" t="n">
        <v>0.136</v>
      </c>
    </row>
    <row r="966">
      <c r="A966" t="inlineStr">
        <is>
          <t>ORD-10911</t>
        </is>
      </c>
      <c r="B966" s="10" t="inlineStr">
        <is>
          <t>2024-12-04</t>
        </is>
      </c>
      <c r="C966" t="inlineStr">
        <is>
          <t>Customer 27</t>
        </is>
      </c>
      <c r="D966" t="inlineStr">
        <is>
          <t>South</t>
        </is>
      </c>
      <c r="E966" t="inlineStr">
        <is>
          <t>Furniture</t>
        </is>
      </c>
      <c r="F966" t="inlineStr">
        <is>
          <t>Table Lamp</t>
        </is>
      </c>
      <c r="G966" t="inlineStr">
        <is>
          <t>First Class</t>
        </is>
      </c>
      <c r="H966" t="n">
        <v>2</v>
      </c>
      <c r="I966" s="11" t="n">
        <v>988.83</v>
      </c>
      <c r="J966" s="12" t="n">
        <v>0.1</v>
      </c>
      <c r="K966" s="11" t="n">
        <v>1779.89</v>
      </c>
      <c r="L966" s="11" t="n">
        <v>134.34</v>
      </c>
      <c r="M966" s="12" t="n">
        <v>0.0755</v>
      </c>
    </row>
    <row r="967">
      <c r="A967" t="inlineStr">
        <is>
          <t>ORD-11549</t>
        </is>
      </c>
      <c r="B967" s="10" t="inlineStr">
        <is>
          <t>2024-12-04</t>
        </is>
      </c>
      <c r="C967" t="inlineStr">
        <is>
          <t>Customer 3</t>
        </is>
      </c>
      <c r="D967" t="inlineStr">
        <is>
          <t>East</t>
        </is>
      </c>
      <c r="E967" t="inlineStr">
        <is>
          <t>Technology</t>
        </is>
      </c>
      <c r="F967" t="inlineStr">
        <is>
          <t>Printer</t>
        </is>
      </c>
      <c r="G967" t="inlineStr">
        <is>
          <t>Same Day</t>
        </is>
      </c>
      <c r="H967" t="n">
        <v>6</v>
      </c>
      <c r="I967" s="11" t="n">
        <v>133.76</v>
      </c>
      <c r="J967" s="12" t="n">
        <v>0.3</v>
      </c>
      <c r="K967" s="11" t="n">
        <v>561.79</v>
      </c>
      <c r="L967" s="11" t="n">
        <v>-94.04000000000001</v>
      </c>
      <c r="M967" s="12" t="n">
        <v>-0.1674</v>
      </c>
    </row>
    <row r="968">
      <c r="A968" t="inlineStr">
        <is>
          <t>ORD-11432</t>
        </is>
      </c>
      <c r="B968" s="10" t="inlineStr">
        <is>
          <t>2024-12-04</t>
        </is>
      </c>
      <c r="C968" t="inlineStr">
        <is>
          <t>Customer 143</t>
        </is>
      </c>
      <c r="D968" t="inlineStr">
        <is>
          <t>South</t>
        </is>
      </c>
      <c r="E968" t="inlineStr">
        <is>
          <t>Technology</t>
        </is>
      </c>
      <c r="F968" t="inlineStr">
        <is>
          <t>Printer</t>
        </is>
      </c>
      <c r="G968" t="inlineStr">
        <is>
          <t>Standard Class</t>
        </is>
      </c>
      <c r="H968" t="n">
        <v>8</v>
      </c>
      <c r="I968" s="11" t="n">
        <v>852.97</v>
      </c>
      <c r="J968" s="12" t="n">
        <v>0</v>
      </c>
      <c r="K968" s="11" t="n">
        <v>6823.76</v>
      </c>
      <c r="L968" s="11" t="n">
        <v>2241.65</v>
      </c>
      <c r="M968" s="12" t="n">
        <v>0.3285</v>
      </c>
    </row>
    <row r="969">
      <c r="A969" t="inlineStr">
        <is>
          <t>ORD-10876</t>
        </is>
      </c>
      <c r="B969" s="10" t="inlineStr">
        <is>
          <t>2024-12-04</t>
        </is>
      </c>
      <c r="C969" t="inlineStr">
        <is>
          <t>Customer 93</t>
        </is>
      </c>
      <c r="D969" t="inlineStr">
        <is>
          <t>West</t>
        </is>
      </c>
      <c r="E969" t="inlineStr">
        <is>
          <t>Office Supplies</t>
        </is>
      </c>
      <c r="F969" t="inlineStr">
        <is>
          <t>Pens (Box)</t>
        </is>
      </c>
      <c r="G969" t="inlineStr">
        <is>
          <t>Standard Class</t>
        </is>
      </c>
      <c r="H969" t="n">
        <v>11</v>
      </c>
      <c r="I969" s="11" t="n">
        <v>984.89</v>
      </c>
      <c r="J969" s="12" t="n">
        <v>0.1</v>
      </c>
      <c r="K969" s="11" t="n">
        <v>9750.41</v>
      </c>
      <c r="L969" s="11" t="n">
        <v>3831.28</v>
      </c>
      <c r="M969" s="12" t="n">
        <v>0.3929</v>
      </c>
    </row>
    <row r="970">
      <c r="A970" t="inlineStr">
        <is>
          <t>ORD-11640</t>
        </is>
      </c>
      <c r="B970" s="10" t="inlineStr">
        <is>
          <t>2024-12-06</t>
        </is>
      </c>
      <c r="C970" t="inlineStr">
        <is>
          <t>Customer 151</t>
        </is>
      </c>
      <c r="D970" t="inlineStr">
        <is>
          <t>West</t>
        </is>
      </c>
      <c r="E970" t="inlineStr">
        <is>
          <t>Office Supplies</t>
        </is>
      </c>
      <c r="F970" t="inlineStr">
        <is>
          <t>Stapler</t>
        </is>
      </c>
      <c r="G970" t="inlineStr">
        <is>
          <t>Same Day</t>
        </is>
      </c>
      <c r="H970" t="n">
        <v>6</v>
      </c>
      <c r="I970" s="11" t="n">
        <v>1008.39</v>
      </c>
      <c r="J970" s="12" t="n">
        <v>0</v>
      </c>
      <c r="K970" s="11" t="n">
        <v>6050.34</v>
      </c>
      <c r="L970" s="11" t="n">
        <v>1056.2</v>
      </c>
      <c r="M970" s="12" t="n">
        <v>0.1746</v>
      </c>
    </row>
    <row r="971">
      <c r="A971" t="inlineStr">
        <is>
          <t>ORD-10396</t>
        </is>
      </c>
      <c r="B971" s="10" t="inlineStr">
        <is>
          <t>2024-12-07</t>
        </is>
      </c>
      <c r="C971" t="inlineStr">
        <is>
          <t>Customer 65</t>
        </is>
      </c>
      <c r="D971" t="inlineStr">
        <is>
          <t>South</t>
        </is>
      </c>
      <c r="E971" t="inlineStr">
        <is>
          <t>Office Supplies</t>
        </is>
      </c>
      <c r="F971" t="inlineStr">
        <is>
          <t>Stapler</t>
        </is>
      </c>
      <c r="G971" t="inlineStr">
        <is>
          <t>Second Class</t>
        </is>
      </c>
      <c r="H971" t="n">
        <v>5</v>
      </c>
      <c r="I971" s="11" t="n">
        <v>739.0700000000001</v>
      </c>
      <c r="J971" s="12" t="n">
        <v>0</v>
      </c>
      <c r="K971" s="11" t="n">
        <v>3695.35</v>
      </c>
      <c r="L971" s="11" t="n">
        <v>1332.08</v>
      </c>
      <c r="M971" s="12" t="n">
        <v>0.3605</v>
      </c>
    </row>
    <row r="972">
      <c r="A972" t="inlineStr">
        <is>
          <t>ORD-10238</t>
        </is>
      </c>
      <c r="B972" s="10" t="inlineStr">
        <is>
          <t>2024-12-07</t>
        </is>
      </c>
      <c r="C972" t="inlineStr">
        <is>
          <t>Customer 31</t>
        </is>
      </c>
      <c r="D972" t="inlineStr">
        <is>
          <t>South</t>
        </is>
      </c>
      <c r="E972" t="inlineStr">
        <is>
          <t>Office Supplies</t>
        </is>
      </c>
      <c r="F972" t="inlineStr">
        <is>
          <t>Paper</t>
        </is>
      </c>
      <c r="G972" t="inlineStr">
        <is>
          <t>Second Class</t>
        </is>
      </c>
      <c r="H972" t="n">
        <v>5</v>
      </c>
      <c r="I972" s="11" t="n">
        <v>244.67</v>
      </c>
      <c r="J972" s="12" t="n">
        <v>0</v>
      </c>
      <c r="K972" s="11" t="n">
        <v>1223.35</v>
      </c>
      <c r="L972" s="11" t="n">
        <v>413.08</v>
      </c>
      <c r="M972" s="12" t="n">
        <v>0.3377</v>
      </c>
    </row>
    <row r="973">
      <c r="A973" t="inlineStr">
        <is>
          <t>ORD-11166</t>
        </is>
      </c>
      <c r="B973" s="10" t="inlineStr">
        <is>
          <t>2024-12-07</t>
        </is>
      </c>
      <c r="C973" t="inlineStr">
        <is>
          <t>Customer 8</t>
        </is>
      </c>
      <c r="D973" t="inlineStr">
        <is>
          <t>East</t>
        </is>
      </c>
      <c r="E973" t="inlineStr">
        <is>
          <t>Technology</t>
        </is>
      </c>
      <c r="F973" t="inlineStr">
        <is>
          <t>Monitor</t>
        </is>
      </c>
      <c r="G973" t="inlineStr">
        <is>
          <t>Same Day</t>
        </is>
      </c>
      <c r="H973" t="n">
        <v>4</v>
      </c>
      <c r="I973" s="11" t="n">
        <v>636.6799999999999</v>
      </c>
      <c r="J973" s="12" t="n">
        <v>0</v>
      </c>
      <c r="K973" s="11" t="n">
        <v>2546.72</v>
      </c>
      <c r="L973" s="11" t="n">
        <v>414.4</v>
      </c>
      <c r="M973" s="12" t="n">
        <v>0.1627</v>
      </c>
    </row>
    <row r="974">
      <c r="A974" t="inlineStr">
        <is>
          <t>ORD-11325</t>
        </is>
      </c>
      <c r="B974" s="10" t="inlineStr">
        <is>
          <t>2024-12-08</t>
        </is>
      </c>
      <c r="C974" t="inlineStr">
        <is>
          <t>Customer 105</t>
        </is>
      </c>
      <c r="D974" t="inlineStr">
        <is>
          <t>West</t>
        </is>
      </c>
      <c r="E974" t="inlineStr">
        <is>
          <t>Furniture</t>
        </is>
      </c>
      <c r="F974" t="inlineStr">
        <is>
          <t>Bookcase</t>
        </is>
      </c>
      <c r="G974" t="inlineStr">
        <is>
          <t>Second Class</t>
        </is>
      </c>
      <c r="H974" t="n">
        <v>1</v>
      </c>
      <c r="I974" s="11" t="n">
        <v>47.37</v>
      </c>
      <c r="J974" s="12" t="n">
        <v>0</v>
      </c>
      <c r="K974" s="11" t="n">
        <v>47.37</v>
      </c>
      <c r="L974" s="11" t="n">
        <v>11.77</v>
      </c>
      <c r="M974" s="12" t="n">
        <v>0.2485</v>
      </c>
    </row>
    <row r="975">
      <c r="A975" t="inlineStr">
        <is>
          <t>ORD-10013</t>
        </is>
      </c>
      <c r="B975" s="10" t="inlineStr">
        <is>
          <t>2024-12-08</t>
        </is>
      </c>
      <c r="C975" t="inlineStr">
        <is>
          <t>Customer 4</t>
        </is>
      </c>
      <c r="D975" t="inlineStr">
        <is>
          <t>South</t>
        </is>
      </c>
      <c r="E975" t="inlineStr">
        <is>
          <t>Office Supplies</t>
        </is>
      </c>
      <c r="F975" t="inlineStr">
        <is>
          <t>Paper</t>
        </is>
      </c>
      <c r="G975" t="inlineStr">
        <is>
          <t>Standard Class</t>
        </is>
      </c>
      <c r="H975" t="n">
        <v>9</v>
      </c>
      <c r="I975" s="11" t="n">
        <v>1069.5</v>
      </c>
      <c r="J975" s="12" t="n">
        <v>0.15</v>
      </c>
      <c r="K975" s="11" t="n">
        <v>8181.68</v>
      </c>
      <c r="L975" s="11" t="n">
        <v>1620.94</v>
      </c>
      <c r="M975" s="12" t="n">
        <v>0.1981</v>
      </c>
    </row>
    <row r="976">
      <c r="A976" t="inlineStr">
        <is>
          <t>ORD-11828</t>
        </is>
      </c>
      <c r="B976" s="10" t="inlineStr">
        <is>
          <t>2024-12-08</t>
        </is>
      </c>
      <c r="C976" t="inlineStr">
        <is>
          <t>Customer 134</t>
        </is>
      </c>
      <c r="D976" t="inlineStr">
        <is>
          <t>East</t>
        </is>
      </c>
      <c r="E976" t="inlineStr">
        <is>
          <t>Furniture</t>
        </is>
      </c>
      <c r="F976" t="inlineStr">
        <is>
          <t>Chair</t>
        </is>
      </c>
      <c r="G976" t="inlineStr">
        <is>
          <t>Standard Class</t>
        </is>
      </c>
      <c r="H976" t="n">
        <v>11</v>
      </c>
      <c r="I976" s="11" t="n">
        <v>304.05</v>
      </c>
      <c r="J976" s="12" t="n">
        <v>0.15</v>
      </c>
      <c r="K976" s="11" t="n">
        <v>2842.87</v>
      </c>
      <c r="L976" s="11" t="n">
        <v>565.25</v>
      </c>
      <c r="M976" s="12" t="n">
        <v>0.1988</v>
      </c>
    </row>
    <row r="977">
      <c r="A977" t="inlineStr">
        <is>
          <t>ORD-10070</t>
        </is>
      </c>
      <c r="B977" s="10" t="inlineStr">
        <is>
          <t>2024-12-08</t>
        </is>
      </c>
      <c r="C977" t="inlineStr">
        <is>
          <t>Customer 194</t>
        </is>
      </c>
      <c r="D977" t="inlineStr">
        <is>
          <t>South</t>
        </is>
      </c>
      <c r="E977" t="inlineStr">
        <is>
          <t>Furniture</t>
        </is>
      </c>
      <c r="F977" t="inlineStr">
        <is>
          <t>Desk</t>
        </is>
      </c>
      <c r="G977" t="inlineStr">
        <is>
          <t>Standard Class</t>
        </is>
      </c>
      <c r="H977" t="n">
        <v>6</v>
      </c>
      <c r="I977" s="11" t="n">
        <v>185.05</v>
      </c>
      <c r="J977" s="12" t="n">
        <v>0</v>
      </c>
      <c r="K977" s="11" t="n">
        <v>1110.3</v>
      </c>
      <c r="L977" s="11" t="n">
        <v>202.64</v>
      </c>
      <c r="M977" s="12" t="n">
        <v>0.1825</v>
      </c>
    </row>
    <row r="978">
      <c r="A978" t="inlineStr">
        <is>
          <t>ORD-10451</t>
        </is>
      </c>
      <c r="B978" s="10" t="inlineStr">
        <is>
          <t>2024-12-08</t>
        </is>
      </c>
      <c r="C978" t="inlineStr">
        <is>
          <t>Customer 75</t>
        </is>
      </c>
      <c r="D978" t="inlineStr">
        <is>
          <t>East</t>
        </is>
      </c>
      <c r="E978" t="inlineStr">
        <is>
          <t>Furniture</t>
        </is>
      </c>
      <c r="F978" t="inlineStr">
        <is>
          <t>Desk</t>
        </is>
      </c>
      <c r="G978" t="inlineStr">
        <is>
          <t>Second Class</t>
        </is>
      </c>
      <c r="H978" t="n">
        <v>3</v>
      </c>
      <c r="I978" s="11" t="n">
        <v>1032.32</v>
      </c>
      <c r="J978" s="12" t="n">
        <v>0</v>
      </c>
      <c r="K978" s="11" t="n">
        <v>3096.96</v>
      </c>
      <c r="L978" s="11" t="n">
        <v>1138.76</v>
      </c>
      <c r="M978" s="12" t="n">
        <v>0.3677</v>
      </c>
    </row>
    <row r="979">
      <c r="A979" t="inlineStr">
        <is>
          <t>ORD-11475</t>
        </is>
      </c>
      <c r="B979" s="10" t="inlineStr">
        <is>
          <t>2024-12-09</t>
        </is>
      </c>
      <c r="C979" t="inlineStr">
        <is>
          <t>Customer 145</t>
        </is>
      </c>
      <c r="D979" t="inlineStr">
        <is>
          <t>West</t>
        </is>
      </c>
      <c r="E979" t="inlineStr">
        <is>
          <t>Furniture</t>
        </is>
      </c>
      <c r="F979" t="inlineStr">
        <is>
          <t>Table Lamp</t>
        </is>
      </c>
      <c r="G979" t="inlineStr">
        <is>
          <t>First Class</t>
        </is>
      </c>
      <c r="H979" t="n">
        <v>11</v>
      </c>
      <c r="I979" s="11" t="n">
        <v>351.44</v>
      </c>
      <c r="J979" s="12" t="n">
        <v>0</v>
      </c>
      <c r="K979" s="11" t="n">
        <v>3865.84</v>
      </c>
      <c r="L979" s="11" t="n">
        <v>1925.49</v>
      </c>
      <c r="M979" s="12" t="n">
        <v>0.4981</v>
      </c>
    </row>
    <row r="980">
      <c r="A980" t="inlineStr">
        <is>
          <t>ORD-10174</t>
        </is>
      </c>
      <c r="B980" s="10" t="inlineStr">
        <is>
          <t>2024-12-09</t>
        </is>
      </c>
      <c r="C980" t="inlineStr">
        <is>
          <t>Customer 138</t>
        </is>
      </c>
      <c r="D980" t="inlineStr">
        <is>
          <t>North</t>
        </is>
      </c>
      <c r="E980" t="inlineStr">
        <is>
          <t>Office Supplies</t>
        </is>
      </c>
      <c r="F980" t="inlineStr">
        <is>
          <t>Pens (Box)</t>
        </is>
      </c>
      <c r="G980" t="inlineStr">
        <is>
          <t>Standard Class</t>
        </is>
      </c>
      <c r="H980" t="n">
        <v>2</v>
      </c>
      <c r="I980" s="11" t="n">
        <v>573.9299999999999</v>
      </c>
      <c r="J980" s="12" t="n">
        <v>0.2</v>
      </c>
      <c r="K980" s="11" t="n">
        <v>918.29</v>
      </c>
      <c r="L980" s="11" t="n">
        <v>320.46</v>
      </c>
      <c r="M980" s="12" t="n">
        <v>0.349</v>
      </c>
    </row>
    <row r="981">
      <c r="A981" t="inlineStr">
        <is>
          <t>ORD-10225</t>
        </is>
      </c>
      <c r="B981" s="10" t="inlineStr">
        <is>
          <t>2024-12-10</t>
        </is>
      </c>
      <c r="C981" t="inlineStr">
        <is>
          <t>Customer 2</t>
        </is>
      </c>
      <c r="D981" t="inlineStr">
        <is>
          <t>West</t>
        </is>
      </c>
      <c r="E981" t="inlineStr">
        <is>
          <t>Office Supplies</t>
        </is>
      </c>
      <c r="F981" t="inlineStr">
        <is>
          <t>Binder</t>
        </is>
      </c>
      <c r="G981" t="inlineStr">
        <is>
          <t>Second Class</t>
        </is>
      </c>
      <c r="H981" t="n">
        <v>6</v>
      </c>
      <c r="I981" s="11" t="n">
        <v>773.38</v>
      </c>
      <c r="J981" s="12" t="n">
        <v>0.15</v>
      </c>
      <c r="K981" s="11" t="n">
        <v>3944.24</v>
      </c>
      <c r="L981" s="11" t="n">
        <v>1.9</v>
      </c>
      <c r="M981" s="12" t="n">
        <v>0.0005</v>
      </c>
    </row>
    <row r="982">
      <c r="A982" t="inlineStr">
        <is>
          <t>ORD-11961</t>
        </is>
      </c>
      <c r="B982" s="10" t="inlineStr">
        <is>
          <t>2024-12-11</t>
        </is>
      </c>
      <c r="C982" t="inlineStr">
        <is>
          <t>Customer 21</t>
        </is>
      </c>
      <c r="D982" t="inlineStr">
        <is>
          <t>East</t>
        </is>
      </c>
      <c r="E982" t="inlineStr">
        <is>
          <t>Technology</t>
        </is>
      </c>
      <c r="F982" t="inlineStr">
        <is>
          <t>Laptop</t>
        </is>
      </c>
      <c r="G982" t="inlineStr">
        <is>
          <t>Standard Class</t>
        </is>
      </c>
      <c r="H982" t="n">
        <v>6</v>
      </c>
      <c r="I982" s="11" t="n">
        <v>643.55</v>
      </c>
      <c r="J982" s="12" t="n">
        <v>0</v>
      </c>
      <c r="K982" s="11" t="n">
        <v>5580.5</v>
      </c>
      <c r="L982" s="11" t="n">
        <v>2439.65</v>
      </c>
      <c r="M982" s="12" t="n">
        <v>0.4372</v>
      </c>
    </row>
    <row r="983">
      <c r="A983" t="inlineStr">
        <is>
          <t>ORD-10778</t>
        </is>
      </c>
      <c r="B983" s="10" t="inlineStr">
        <is>
          <t>2024-12-11</t>
        </is>
      </c>
      <c r="C983" t="inlineStr">
        <is>
          <t>Customer 150</t>
        </is>
      </c>
      <c r="D983" t="inlineStr">
        <is>
          <t>North</t>
        </is>
      </c>
      <c r="E983" t="inlineStr">
        <is>
          <t>Furniture</t>
        </is>
      </c>
      <c r="F983" t="inlineStr">
        <is>
          <t>Chair</t>
        </is>
      </c>
      <c r="G983" t="inlineStr">
        <is>
          <t>Second Class</t>
        </is>
      </c>
      <c r="H983" t="n">
        <v>11</v>
      </c>
      <c r="I983" s="11" t="n">
        <v>264.71</v>
      </c>
      <c r="J983" s="12" t="n">
        <v>0</v>
      </c>
      <c r="K983" s="11" t="n">
        <v>2911.81</v>
      </c>
      <c r="L983" s="11" t="n">
        <v>1452.11</v>
      </c>
      <c r="M983" s="12" t="n">
        <v>0.4987</v>
      </c>
    </row>
    <row r="984">
      <c r="A984" t="inlineStr">
        <is>
          <t>ORD-11917</t>
        </is>
      </c>
      <c r="B984" s="10" t="inlineStr">
        <is>
          <t>2024-12-11</t>
        </is>
      </c>
      <c r="C984" t="inlineStr">
        <is>
          <t>Customer 159</t>
        </is>
      </c>
      <c r="D984" t="inlineStr">
        <is>
          <t>East</t>
        </is>
      </c>
      <c r="E984" t="inlineStr">
        <is>
          <t>Office Supplies</t>
        </is>
      </c>
      <c r="F984" t="inlineStr">
        <is>
          <t>Pens (Box)</t>
        </is>
      </c>
      <c r="G984" t="inlineStr">
        <is>
          <t>First Class</t>
        </is>
      </c>
      <c r="H984" t="n">
        <v>5</v>
      </c>
      <c r="I984" s="11" t="n">
        <v>103.58</v>
      </c>
      <c r="J984" s="12" t="n">
        <v>0</v>
      </c>
      <c r="K984" s="11" t="n">
        <v>517.9</v>
      </c>
      <c r="L984" s="11" t="n">
        <v>149.12</v>
      </c>
      <c r="M984" s="12" t="n">
        <v>0.2879</v>
      </c>
    </row>
    <row r="985">
      <c r="A985" t="inlineStr">
        <is>
          <t>ORD-10169</t>
        </is>
      </c>
      <c r="B985" s="10" t="inlineStr">
        <is>
          <t>2024-12-11</t>
        </is>
      </c>
      <c r="C985" t="inlineStr">
        <is>
          <t>Customer 95</t>
        </is>
      </c>
      <c r="D985" t="inlineStr">
        <is>
          <t>West</t>
        </is>
      </c>
      <c r="E985" t="inlineStr">
        <is>
          <t>Office Supplies</t>
        </is>
      </c>
      <c r="F985" t="inlineStr">
        <is>
          <t>Pens (Box)</t>
        </is>
      </c>
      <c r="G985" t="inlineStr">
        <is>
          <t>Same Day</t>
        </is>
      </c>
      <c r="H985" t="n">
        <v>11</v>
      </c>
      <c r="I985" s="11" t="n">
        <v>1048.07</v>
      </c>
      <c r="J985" s="12" t="n">
        <v>0</v>
      </c>
      <c r="K985" s="11" t="n">
        <v>11528.77</v>
      </c>
      <c r="L985" s="11" t="n">
        <v>4873.45</v>
      </c>
      <c r="M985" s="12" t="n">
        <v>0.4227</v>
      </c>
    </row>
    <row r="986">
      <c r="A986" t="inlineStr">
        <is>
          <t>ORD-10652</t>
        </is>
      </c>
      <c r="B986" s="10" t="inlineStr">
        <is>
          <t>2024-12-12</t>
        </is>
      </c>
      <c r="C986" t="inlineStr">
        <is>
          <t>Customer 47</t>
        </is>
      </c>
      <c r="D986" t="inlineStr">
        <is>
          <t>South</t>
        </is>
      </c>
      <c r="E986" t="inlineStr">
        <is>
          <t>Furniture</t>
        </is>
      </c>
      <c r="F986" t="inlineStr">
        <is>
          <t>Chair</t>
        </is>
      </c>
      <c r="G986" t="inlineStr">
        <is>
          <t>Standard Class</t>
        </is>
      </c>
      <c r="H986" t="n">
        <v>10</v>
      </c>
      <c r="I986" s="11" t="n">
        <v>1009.1</v>
      </c>
      <c r="J986" s="12" t="n">
        <v>0</v>
      </c>
      <c r="K986" s="11" t="n">
        <v>10091</v>
      </c>
      <c r="L986" s="11" t="n">
        <v>4981.11</v>
      </c>
      <c r="M986" s="12" t="n">
        <v>0.4936</v>
      </c>
    </row>
    <row r="987">
      <c r="A987" t="inlineStr">
        <is>
          <t>ORD-11045</t>
        </is>
      </c>
      <c r="B987" s="10" t="inlineStr">
        <is>
          <t>2024-12-12</t>
        </is>
      </c>
      <c r="C987" t="inlineStr">
        <is>
          <t>Customer 159</t>
        </is>
      </c>
      <c r="D987" t="inlineStr">
        <is>
          <t>East</t>
        </is>
      </c>
      <c r="E987" t="inlineStr">
        <is>
          <t>Technology</t>
        </is>
      </c>
      <c r="F987" t="inlineStr">
        <is>
          <t>Printer</t>
        </is>
      </c>
      <c r="G987" t="inlineStr">
        <is>
          <t>Same Day</t>
        </is>
      </c>
      <c r="H987" t="n">
        <v>3</v>
      </c>
      <c r="I987" s="11" t="n">
        <v>732.29</v>
      </c>
      <c r="J987" s="12" t="n">
        <v>0</v>
      </c>
      <c r="K987" s="11" t="n">
        <v>2196.87</v>
      </c>
      <c r="L987" s="11" t="n">
        <v>619.91</v>
      </c>
      <c r="M987" s="12" t="n">
        <v>0.2822</v>
      </c>
    </row>
    <row r="988">
      <c r="A988" t="inlineStr">
        <is>
          <t>ORD-10685</t>
        </is>
      </c>
      <c r="B988" s="10" t="inlineStr">
        <is>
          <t>2024-12-13</t>
        </is>
      </c>
      <c r="C988" t="inlineStr">
        <is>
          <t>Customer 127</t>
        </is>
      </c>
      <c r="D988" t="inlineStr">
        <is>
          <t>North</t>
        </is>
      </c>
      <c r="E988" t="inlineStr">
        <is>
          <t>Office Supplies</t>
        </is>
      </c>
      <c r="F988" t="inlineStr">
        <is>
          <t>Paper</t>
        </is>
      </c>
      <c r="G988" t="inlineStr">
        <is>
          <t>Standard Class</t>
        </is>
      </c>
      <c r="H988" t="n">
        <v>3</v>
      </c>
      <c r="I988" s="11" t="n">
        <v>872.22</v>
      </c>
      <c r="J988" s="12" t="n">
        <v>0</v>
      </c>
      <c r="K988" s="11" t="n">
        <v>2616.66</v>
      </c>
      <c r="L988" s="11" t="n">
        <v>1243.77</v>
      </c>
      <c r="M988" s="12" t="n">
        <v>0.4753</v>
      </c>
    </row>
    <row r="989">
      <c r="A989" t="inlineStr">
        <is>
          <t>ORD-11129</t>
        </is>
      </c>
      <c r="B989" s="10" t="inlineStr">
        <is>
          <t>2024-12-13</t>
        </is>
      </c>
      <c r="C989" t="inlineStr">
        <is>
          <t>Customer 141</t>
        </is>
      </c>
      <c r="D989" t="inlineStr">
        <is>
          <t>West</t>
        </is>
      </c>
      <c r="E989" t="inlineStr">
        <is>
          <t>Office Supplies</t>
        </is>
      </c>
      <c r="F989" t="inlineStr">
        <is>
          <t>Stapler</t>
        </is>
      </c>
      <c r="G989" t="inlineStr">
        <is>
          <t>Standard Class</t>
        </is>
      </c>
      <c r="H989" t="n">
        <v>2</v>
      </c>
      <c r="I989" s="11" t="n">
        <v>16.55</v>
      </c>
      <c r="J989" s="12" t="n">
        <v>0</v>
      </c>
      <c r="K989" s="11" t="n">
        <v>33.1</v>
      </c>
      <c r="L989" s="11" t="n">
        <v>15.51</v>
      </c>
      <c r="M989" s="12" t="n">
        <v>0.4686</v>
      </c>
    </row>
    <row r="990">
      <c r="A990" t="inlineStr">
        <is>
          <t>ORD-10638</t>
        </is>
      </c>
      <c r="B990" s="10" t="inlineStr">
        <is>
          <t>2024-12-13</t>
        </is>
      </c>
      <c r="C990" t="inlineStr">
        <is>
          <t>Customer 10</t>
        </is>
      </c>
      <c r="D990" t="inlineStr">
        <is>
          <t>North</t>
        </is>
      </c>
      <c r="E990" t="inlineStr">
        <is>
          <t>Office Supplies</t>
        </is>
      </c>
      <c r="F990" t="inlineStr">
        <is>
          <t>Pens (Box)</t>
        </is>
      </c>
      <c r="G990" t="inlineStr">
        <is>
          <t>Same Day</t>
        </is>
      </c>
      <c r="H990" t="n">
        <v>2</v>
      </c>
      <c r="I990" s="11" t="n">
        <v>613.01</v>
      </c>
      <c r="J990" s="12" t="n">
        <v>0.1</v>
      </c>
      <c r="K990" s="11" t="n">
        <v>1103.42</v>
      </c>
      <c r="L990" s="11" t="n">
        <v>377.41</v>
      </c>
      <c r="M990" s="12" t="n">
        <v>0.342</v>
      </c>
    </row>
    <row r="991">
      <c r="A991" t="inlineStr">
        <is>
          <t>ORD-10157</t>
        </is>
      </c>
      <c r="B991" s="10" t="inlineStr">
        <is>
          <t>2024-12-13</t>
        </is>
      </c>
      <c r="C991" t="inlineStr">
        <is>
          <t>Customer 84</t>
        </is>
      </c>
      <c r="D991" t="inlineStr">
        <is>
          <t>West</t>
        </is>
      </c>
      <c r="E991" t="inlineStr">
        <is>
          <t>Office Supplies</t>
        </is>
      </c>
      <c r="F991" t="inlineStr">
        <is>
          <t>Stapler</t>
        </is>
      </c>
      <c r="G991" t="inlineStr">
        <is>
          <t>Standard Class</t>
        </is>
      </c>
      <c r="H991" t="n">
        <v>1</v>
      </c>
      <c r="I991" s="11" t="n">
        <v>169.91</v>
      </c>
      <c r="J991" s="12" t="n">
        <v>0.1</v>
      </c>
      <c r="K991" s="11" t="n">
        <v>152.92</v>
      </c>
      <c r="L991" s="11" t="n">
        <v>51.87</v>
      </c>
      <c r="M991" s="12" t="n">
        <v>0.3392</v>
      </c>
    </row>
    <row r="992">
      <c r="A992" t="inlineStr">
        <is>
          <t>ORD-10708</t>
        </is>
      </c>
      <c r="B992" s="10" t="inlineStr">
        <is>
          <t>2024-12-15</t>
        </is>
      </c>
      <c r="C992" t="inlineStr">
        <is>
          <t>Customer 169</t>
        </is>
      </c>
      <c r="D992" t="inlineStr">
        <is>
          <t>South</t>
        </is>
      </c>
      <c r="E992" t="inlineStr">
        <is>
          <t>Technology</t>
        </is>
      </c>
      <c r="F992" t="inlineStr">
        <is>
          <t>Monitor</t>
        </is>
      </c>
      <c r="G992" t="inlineStr">
        <is>
          <t>Second Class</t>
        </is>
      </c>
      <c r="H992" t="n">
        <v>2</v>
      </c>
      <c r="I992" s="11" t="n">
        <v>632.27</v>
      </c>
      <c r="J992" s="12" t="n">
        <v>0.1</v>
      </c>
      <c r="K992" s="11" t="n">
        <v>1138.09</v>
      </c>
      <c r="L992" s="11" t="n">
        <v>73.19</v>
      </c>
      <c r="M992" s="12" t="n">
        <v>0.0643</v>
      </c>
    </row>
    <row r="993">
      <c r="A993" t="inlineStr">
        <is>
          <t>ORD-11712</t>
        </is>
      </c>
      <c r="B993" s="10" t="inlineStr">
        <is>
          <t>2024-12-17</t>
        </is>
      </c>
      <c r="C993" t="inlineStr">
        <is>
          <t>Customer 177</t>
        </is>
      </c>
      <c r="D993" t="inlineStr">
        <is>
          <t>East</t>
        </is>
      </c>
      <c r="E993" t="inlineStr">
        <is>
          <t>Office Supplies</t>
        </is>
      </c>
      <c r="F993" t="inlineStr">
        <is>
          <t>Paper</t>
        </is>
      </c>
      <c r="G993" t="inlineStr">
        <is>
          <t>First Class</t>
        </is>
      </c>
      <c r="H993" t="n">
        <v>9</v>
      </c>
      <c r="I993" s="11" t="n">
        <v>120.34</v>
      </c>
      <c r="J993" s="12" t="n">
        <v>0</v>
      </c>
      <c r="K993" s="11" t="n">
        <v>1083.06</v>
      </c>
      <c r="L993" s="11" t="n">
        <v>430.33</v>
      </c>
      <c r="M993" s="12" t="n">
        <v>0.3973</v>
      </c>
    </row>
    <row r="994">
      <c r="A994" t="inlineStr">
        <is>
          <t>ORD-10204</t>
        </is>
      </c>
      <c r="B994" s="10" t="inlineStr">
        <is>
          <t>2024-12-18</t>
        </is>
      </c>
      <c r="C994" t="inlineStr">
        <is>
          <t>Customer 14</t>
        </is>
      </c>
      <c r="D994" t="inlineStr">
        <is>
          <t>West</t>
        </is>
      </c>
      <c r="E994" t="inlineStr">
        <is>
          <t>Technology</t>
        </is>
      </c>
      <c r="F994" t="inlineStr">
        <is>
          <t>Printer</t>
        </is>
      </c>
      <c r="G994" t="inlineStr">
        <is>
          <t>Second Class</t>
        </is>
      </c>
      <c r="H994" t="n">
        <v>9</v>
      </c>
      <c r="I994" s="11" t="n">
        <v>550.4</v>
      </c>
      <c r="J994" s="12" t="n">
        <v>0</v>
      </c>
      <c r="K994" s="11" t="n">
        <v>4953.6</v>
      </c>
      <c r="L994" s="11" t="n">
        <v>1849.87</v>
      </c>
      <c r="M994" s="12" t="n">
        <v>0.3734</v>
      </c>
    </row>
    <row r="995">
      <c r="A995" t="inlineStr">
        <is>
          <t>ORD-11863</t>
        </is>
      </c>
      <c r="B995" s="10" t="inlineStr">
        <is>
          <t>2024-12-19</t>
        </is>
      </c>
      <c r="C995" t="inlineStr">
        <is>
          <t>Customer 162</t>
        </is>
      </c>
      <c r="D995" t="inlineStr">
        <is>
          <t>East</t>
        </is>
      </c>
      <c r="E995" t="inlineStr">
        <is>
          <t>Office Supplies</t>
        </is>
      </c>
      <c r="F995" t="inlineStr">
        <is>
          <t>Binder</t>
        </is>
      </c>
      <c r="G995" t="inlineStr">
        <is>
          <t>Second Class</t>
        </is>
      </c>
      <c r="H995" t="n">
        <v>6</v>
      </c>
      <c r="I995" s="11" t="n">
        <v>761.86</v>
      </c>
      <c r="J995" s="12" t="n">
        <v>0</v>
      </c>
      <c r="K995" s="11" t="n">
        <v>4571.16</v>
      </c>
      <c r="L995" s="11" t="n">
        <v>1761.8</v>
      </c>
      <c r="M995" s="12" t="n">
        <v>0.3854</v>
      </c>
    </row>
    <row r="996">
      <c r="A996" t="inlineStr">
        <is>
          <t>ORD-10552</t>
        </is>
      </c>
      <c r="B996" s="10" t="inlineStr">
        <is>
          <t>2024-12-21</t>
        </is>
      </c>
      <c r="C996" t="inlineStr">
        <is>
          <t>Customer 196</t>
        </is>
      </c>
      <c r="D996" t="inlineStr">
        <is>
          <t>North</t>
        </is>
      </c>
      <c r="E996" t="inlineStr">
        <is>
          <t>Office Supplies</t>
        </is>
      </c>
      <c r="F996" t="inlineStr">
        <is>
          <t>Binder</t>
        </is>
      </c>
      <c r="G996" t="inlineStr">
        <is>
          <t>Same Day</t>
        </is>
      </c>
      <c r="H996" t="n">
        <v>9</v>
      </c>
      <c r="I996" s="11" t="n">
        <v>225.44</v>
      </c>
      <c r="J996" s="12" t="n">
        <v>0</v>
      </c>
      <c r="K996" s="11" t="n">
        <v>2028.96</v>
      </c>
      <c r="L996" s="11" t="n">
        <v>767.34</v>
      </c>
      <c r="M996" s="12" t="n">
        <v>0.3782</v>
      </c>
    </row>
    <row r="997">
      <c r="A997" t="inlineStr">
        <is>
          <t>ORD-11031</t>
        </is>
      </c>
      <c r="B997" s="10" t="inlineStr">
        <is>
          <t>2024-12-21</t>
        </is>
      </c>
      <c r="C997" t="inlineStr">
        <is>
          <t>Customer 118</t>
        </is>
      </c>
      <c r="D997" t="inlineStr">
        <is>
          <t>North</t>
        </is>
      </c>
      <c r="E997" t="inlineStr">
        <is>
          <t>Technology</t>
        </is>
      </c>
      <c r="F997" t="inlineStr">
        <is>
          <t>Printer</t>
        </is>
      </c>
      <c r="G997" t="inlineStr">
        <is>
          <t>Second Class</t>
        </is>
      </c>
      <c r="H997" t="n">
        <v>9</v>
      </c>
      <c r="I997" s="11" t="n">
        <v>232.1</v>
      </c>
      <c r="J997" s="12" t="n">
        <v>0</v>
      </c>
      <c r="K997" s="11" t="n">
        <v>2088.9</v>
      </c>
      <c r="L997" s="11" t="n">
        <v>928.86</v>
      </c>
      <c r="M997" s="12" t="n">
        <v>0.4447</v>
      </c>
    </row>
    <row r="998">
      <c r="A998" t="inlineStr">
        <is>
          <t>ORD-11220</t>
        </is>
      </c>
      <c r="B998" s="10" t="inlineStr">
        <is>
          <t>2024-12-21</t>
        </is>
      </c>
      <c r="C998" t="inlineStr">
        <is>
          <t>Customer 26</t>
        </is>
      </c>
      <c r="D998" t="inlineStr">
        <is>
          <t>East</t>
        </is>
      </c>
      <c r="E998" t="inlineStr">
        <is>
          <t>Technology</t>
        </is>
      </c>
      <c r="F998" t="inlineStr">
        <is>
          <t>Laptop</t>
        </is>
      </c>
      <c r="G998" t="inlineStr">
        <is>
          <t>First Class</t>
        </is>
      </c>
      <c r="H998" t="n">
        <v>9</v>
      </c>
      <c r="I998" s="11" t="n">
        <v>467.48</v>
      </c>
      <c r="J998" s="12" t="n">
        <v>0.1</v>
      </c>
      <c r="K998" s="11" t="n">
        <v>3786.59</v>
      </c>
      <c r="L998" s="11" t="n">
        <v>266.15</v>
      </c>
      <c r="M998" s="12" t="n">
        <v>0.0703</v>
      </c>
    </row>
    <row r="999">
      <c r="A999" t="inlineStr">
        <is>
          <t>ORD-11480</t>
        </is>
      </c>
      <c r="B999" s="10" t="inlineStr">
        <is>
          <t>2024-12-22</t>
        </is>
      </c>
      <c r="C999" t="inlineStr">
        <is>
          <t>Customer 92</t>
        </is>
      </c>
      <c r="D999" t="inlineStr">
        <is>
          <t>West</t>
        </is>
      </c>
      <c r="E999" t="inlineStr">
        <is>
          <t>Office Supplies</t>
        </is>
      </c>
      <c r="F999" t="inlineStr">
        <is>
          <t>Paper</t>
        </is>
      </c>
      <c r="G999" t="inlineStr">
        <is>
          <t>Standard Class</t>
        </is>
      </c>
      <c r="H999" t="n">
        <v>8</v>
      </c>
      <c r="I999" s="11" t="n">
        <v>321.22</v>
      </c>
      <c r="J999" s="12" t="n">
        <v>0</v>
      </c>
      <c r="K999" s="11" t="n">
        <v>2569.76</v>
      </c>
      <c r="L999" s="11" t="n">
        <v>523.8</v>
      </c>
      <c r="M999" s="12" t="n">
        <v>0.2038</v>
      </c>
    </row>
    <row r="1000">
      <c r="A1000" t="inlineStr">
        <is>
          <t>ORD-10796</t>
        </is>
      </c>
      <c r="B1000" s="10" t="inlineStr">
        <is>
          <t>2024-12-23</t>
        </is>
      </c>
      <c r="C1000" t="inlineStr">
        <is>
          <t>Customer 60</t>
        </is>
      </c>
      <c r="D1000" t="inlineStr">
        <is>
          <t>East</t>
        </is>
      </c>
      <c r="E1000" t="inlineStr">
        <is>
          <t>Furniture</t>
        </is>
      </c>
      <c r="F1000" t="inlineStr">
        <is>
          <t>Table Lamp</t>
        </is>
      </c>
      <c r="G1000" t="inlineStr">
        <is>
          <t>Same Day</t>
        </is>
      </c>
      <c r="H1000" t="n">
        <v>2</v>
      </c>
      <c r="I1000" s="11" t="n">
        <v>1147.83</v>
      </c>
      <c r="J1000" s="12" t="n">
        <v>0.15</v>
      </c>
      <c r="K1000" s="11" t="n">
        <v>1951.31</v>
      </c>
      <c r="L1000" s="11" t="n">
        <v>140.42</v>
      </c>
      <c r="M1000" s="12" t="n">
        <v>0.07199999999999999</v>
      </c>
    </row>
    <row r="1001">
      <c r="A1001" t="inlineStr">
        <is>
          <t>ORD-10100</t>
        </is>
      </c>
      <c r="B1001" s="10" t="inlineStr">
        <is>
          <t>2024-12-23</t>
        </is>
      </c>
      <c r="C1001" t="inlineStr">
        <is>
          <t>Customer 176</t>
        </is>
      </c>
      <c r="D1001" t="inlineStr">
        <is>
          <t>South</t>
        </is>
      </c>
      <c r="E1001" t="inlineStr">
        <is>
          <t>Furniture</t>
        </is>
      </c>
      <c r="F1001" t="inlineStr">
        <is>
          <t>Bookcase</t>
        </is>
      </c>
      <c r="G1001" t="inlineStr">
        <is>
          <t>Same Day</t>
        </is>
      </c>
      <c r="H1001" t="n">
        <v>4</v>
      </c>
      <c r="I1001" s="11" t="n">
        <v>403.05</v>
      </c>
      <c r="J1001" s="12" t="n">
        <v>0</v>
      </c>
      <c r="K1001" s="11" t="n">
        <v>1612.2</v>
      </c>
      <c r="L1001" s="11" t="n">
        <v>365.64</v>
      </c>
      <c r="M1001" s="12" t="n">
        <v>0.2268</v>
      </c>
    </row>
    <row r="1002">
      <c r="A1002" t="inlineStr">
        <is>
          <t>ORD-10753</t>
        </is>
      </c>
      <c r="B1002" s="10" t="inlineStr">
        <is>
          <t>2024-12-23</t>
        </is>
      </c>
      <c r="C1002" t="inlineStr">
        <is>
          <t>Customer 169</t>
        </is>
      </c>
      <c r="D1002" t="inlineStr">
        <is>
          <t>South</t>
        </is>
      </c>
      <c r="E1002" t="inlineStr">
        <is>
          <t>Office Supplies</t>
        </is>
      </c>
      <c r="F1002" t="inlineStr">
        <is>
          <t>Binder</t>
        </is>
      </c>
      <c r="G1002" t="inlineStr">
        <is>
          <t>First Class</t>
        </is>
      </c>
      <c r="H1002" t="n">
        <v>2</v>
      </c>
      <c r="I1002" s="11" t="n">
        <v>13.22</v>
      </c>
      <c r="J1002" s="12" t="n">
        <v>0.15</v>
      </c>
      <c r="K1002" s="11" t="n">
        <v>22.47</v>
      </c>
      <c r="L1002" s="11" t="n">
        <v>2.74</v>
      </c>
      <c r="M1002" s="12" t="n">
        <v>0.1219</v>
      </c>
    </row>
    <row r="1003">
      <c r="A1003" t="inlineStr">
        <is>
          <t>ORD-10617</t>
        </is>
      </c>
      <c r="B1003" s="10" t="inlineStr">
        <is>
          <t>2024-12-23</t>
        </is>
      </c>
      <c r="C1003" t="inlineStr">
        <is>
          <t>Customer 9</t>
        </is>
      </c>
      <c r="D1003" t="inlineStr">
        <is>
          <t>North</t>
        </is>
      </c>
      <c r="E1003" t="inlineStr">
        <is>
          <t>Office Supplies</t>
        </is>
      </c>
      <c r="F1003" t="inlineStr">
        <is>
          <t>Stapler</t>
        </is>
      </c>
      <c r="G1003" t="inlineStr">
        <is>
          <t>Second Class</t>
        </is>
      </c>
      <c r="H1003" t="n">
        <v>2</v>
      </c>
      <c r="I1003" s="11" t="n">
        <v>855.84</v>
      </c>
      <c r="J1003" s="12" t="n">
        <v>0.1</v>
      </c>
      <c r="K1003" s="11" t="n">
        <v>1540.51</v>
      </c>
      <c r="L1003" s="11" t="n">
        <v>136.31</v>
      </c>
      <c r="M1003" s="12" t="n">
        <v>0.0885</v>
      </c>
    </row>
    <row r="1004">
      <c r="A1004" t="inlineStr">
        <is>
          <t>ORD-10294</t>
        </is>
      </c>
      <c r="B1004" s="10" t="inlineStr">
        <is>
          <t>2024-12-23</t>
        </is>
      </c>
      <c r="C1004" t="inlineStr">
        <is>
          <t>Customer 143</t>
        </is>
      </c>
      <c r="D1004" t="inlineStr">
        <is>
          <t>South</t>
        </is>
      </c>
      <c r="E1004" t="inlineStr">
        <is>
          <t>Technology</t>
        </is>
      </c>
      <c r="F1004" t="inlineStr">
        <is>
          <t>Wireless Mouse</t>
        </is>
      </c>
      <c r="G1004" t="inlineStr">
        <is>
          <t>Standard Class</t>
        </is>
      </c>
      <c r="H1004" t="n">
        <v>8</v>
      </c>
      <c r="I1004" s="11" t="n">
        <v>174.26</v>
      </c>
      <c r="J1004" s="12" t="n">
        <v>0</v>
      </c>
      <c r="K1004" s="11" t="n">
        <v>1394.08</v>
      </c>
      <c r="L1004" s="11" t="n">
        <v>361.57</v>
      </c>
      <c r="M1004" s="12" t="n">
        <v>0.2594</v>
      </c>
    </row>
    <row r="1005">
      <c r="A1005" t="inlineStr">
        <is>
          <t>ORD-10944</t>
        </is>
      </c>
      <c r="B1005" s="10" t="inlineStr">
        <is>
          <t>2024-12-23</t>
        </is>
      </c>
      <c r="C1005" t="inlineStr">
        <is>
          <t>Customer 110</t>
        </is>
      </c>
      <c r="D1005" t="inlineStr">
        <is>
          <t>East</t>
        </is>
      </c>
      <c r="E1005" t="inlineStr">
        <is>
          <t>Technology</t>
        </is>
      </c>
      <c r="F1005" t="inlineStr">
        <is>
          <t>Wireless Mouse</t>
        </is>
      </c>
      <c r="G1005" t="inlineStr">
        <is>
          <t>Standard Class</t>
        </is>
      </c>
      <c r="H1005" t="n">
        <v>11</v>
      </c>
      <c r="I1005" s="11" t="n">
        <v>983.11</v>
      </c>
      <c r="J1005" s="12" t="n">
        <v>0</v>
      </c>
      <c r="K1005" s="11" t="n">
        <v>10814.21</v>
      </c>
      <c r="L1005" s="11" t="n">
        <v>4074.48</v>
      </c>
      <c r="M1005" s="12" t="n">
        <v>0.3768</v>
      </c>
    </row>
    <row r="1006">
      <c r="A1006" t="inlineStr">
        <is>
          <t>ORD-10569</t>
        </is>
      </c>
      <c r="B1006" s="10" t="inlineStr">
        <is>
          <t>2024-12-24</t>
        </is>
      </c>
      <c r="C1006" t="inlineStr">
        <is>
          <t>Customer 82</t>
        </is>
      </c>
      <c r="D1006" t="inlineStr">
        <is>
          <t>South</t>
        </is>
      </c>
      <c r="E1006" t="inlineStr">
        <is>
          <t>Furniture</t>
        </is>
      </c>
      <c r="F1006" t="inlineStr">
        <is>
          <t>Table Lamp</t>
        </is>
      </c>
      <c r="G1006" t="inlineStr">
        <is>
          <t>First Class</t>
        </is>
      </c>
      <c r="H1006" t="n">
        <v>2</v>
      </c>
      <c r="I1006" s="11" t="n">
        <v>676.98</v>
      </c>
      <c r="J1006" s="12" t="n">
        <v>0.1</v>
      </c>
      <c r="K1006" s="11" t="n">
        <v>1218.56</v>
      </c>
      <c r="L1006" s="11" t="n">
        <v>234.07</v>
      </c>
      <c r="M1006" s="12" t="n">
        <v>0.1921</v>
      </c>
    </row>
    <row r="1007">
      <c r="A1007" t="inlineStr">
        <is>
          <t>ORD-11531</t>
        </is>
      </c>
      <c r="B1007" s="10" t="inlineStr">
        <is>
          <t>2024-12-24</t>
        </is>
      </c>
      <c r="C1007" t="inlineStr">
        <is>
          <t>Customer 188</t>
        </is>
      </c>
      <c r="D1007" t="inlineStr">
        <is>
          <t>South</t>
        </is>
      </c>
      <c r="E1007" t="inlineStr">
        <is>
          <t>Technology</t>
        </is>
      </c>
      <c r="F1007" t="inlineStr">
        <is>
          <t>Printer</t>
        </is>
      </c>
      <c r="G1007" t="inlineStr">
        <is>
          <t>First Class</t>
        </is>
      </c>
      <c r="H1007" t="n">
        <v>7</v>
      </c>
      <c r="I1007" s="11" t="n">
        <v>516.83</v>
      </c>
      <c r="J1007" s="12" t="n">
        <v>0.3</v>
      </c>
      <c r="K1007" s="11" t="n">
        <v>2532.47</v>
      </c>
      <c r="L1007" s="11" t="n">
        <v>-169.69</v>
      </c>
      <c r="M1007" s="12" t="n">
        <v>-0.067</v>
      </c>
    </row>
    <row r="1008">
      <c r="A1008" t="inlineStr">
        <is>
          <t>ORD-10492</t>
        </is>
      </c>
      <c r="B1008" s="10" t="inlineStr">
        <is>
          <t>2024-12-24</t>
        </is>
      </c>
      <c r="C1008" t="inlineStr">
        <is>
          <t>Customer 32</t>
        </is>
      </c>
      <c r="D1008" t="inlineStr">
        <is>
          <t>North</t>
        </is>
      </c>
      <c r="E1008" t="inlineStr">
        <is>
          <t>Office Supplies</t>
        </is>
      </c>
      <c r="F1008" t="inlineStr">
        <is>
          <t>Stapler</t>
        </is>
      </c>
      <c r="G1008" t="inlineStr">
        <is>
          <t>Second Class</t>
        </is>
      </c>
      <c r="H1008" t="n">
        <v>7</v>
      </c>
      <c r="I1008" s="11" t="n">
        <v>586.9400000000001</v>
      </c>
      <c r="J1008" s="12" t="n">
        <v>0.3</v>
      </c>
      <c r="K1008" s="11" t="n">
        <v>2876.01</v>
      </c>
      <c r="L1008" s="11" t="n">
        <v>-265.83</v>
      </c>
      <c r="M1008" s="12" t="n">
        <v>-0.0924</v>
      </c>
    </row>
    <row r="1009">
      <c r="A1009" t="inlineStr">
        <is>
          <t>ORD-10978</t>
        </is>
      </c>
      <c r="B1009" s="10" t="inlineStr">
        <is>
          <t>2024-12-24</t>
        </is>
      </c>
      <c r="C1009" t="inlineStr">
        <is>
          <t>Customer 64</t>
        </is>
      </c>
      <c r="D1009" t="inlineStr">
        <is>
          <t>West</t>
        </is>
      </c>
      <c r="E1009" t="inlineStr">
        <is>
          <t>Furniture</t>
        </is>
      </c>
      <c r="F1009" t="inlineStr">
        <is>
          <t>Desk</t>
        </is>
      </c>
      <c r="G1009" t="inlineStr">
        <is>
          <t>Second Class</t>
        </is>
      </c>
      <c r="H1009" t="n">
        <v>11</v>
      </c>
      <c r="I1009" s="11" t="n">
        <v>331.89</v>
      </c>
      <c r="J1009" s="12" t="n">
        <v>0.1</v>
      </c>
      <c r="K1009" s="11" t="n">
        <v>3285.71</v>
      </c>
      <c r="L1009" s="11" t="n">
        <v>506.16</v>
      </c>
      <c r="M1009" s="12" t="n">
        <v>0.154</v>
      </c>
    </row>
    <row r="1010">
      <c r="A1010" t="inlineStr">
        <is>
          <t>ORD-10162</t>
        </is>
      </c>
      <c r="B1010" s="10" t="inlineStr">
        <is>
          <t>2024-12-24</t>
        </is>
      </c>
      <c r="C1010" t="inlineStr">
        <is>
          <t>Customer 35</t>
        </is>
      </c>
      <c r="D1010" t="inlineStr">
        <is>
          <t>West</t>
        </is>
      </c>
      <c r="E1010" t="inlineStr">
        <is>
          <t>Office Supplies</t>
        </is>
      </c>
      <c r="F1010" t="inlineStr">
        <is>
          <t>Pens (Box)</t>
        </is>
      </c>
      <c r="G1010" t="inlineStr">
        <is>
          <t>Standard Class</t>
        </is>
      </c>
      <c r="H1010" t="n">
        <v>2</v>
      </c>
      <c r="I1010" s="11" t="n">
        <v>1072.17</v>
      </c>
      <c r="J1010" s="12" t="n">
        <v>0</v>
      </c>
      <c r="K1010" s="11" t="n">
        <v>2144.34</v>
      </c>
      <c r="L1010" s="11" t="n">
        <v>412.41</v>
      </c>
      <c r="M1010" s="12" t="n">
        <v>0.1923</v>
      </c>
    </row>
    <row r="1011">
      <c r="A1011" t="inlineStr">
        <is>
          <t>ORD-11453</t>
        </is>
      </c>
      <c r="B1011" s="10" t="inlineStr">
        <is>
          <t>2024-12-24</t>
        </is>
      </c>
      <c r="C1011" t="inlineStr">
        <is>
          <t>Customer 169</t>
        </is>
      </c>
      <c r="D1011" t="inlineStr">
        <is>
          <t>South</t>
        </is>
      </c>
      <c r="E1011" t="inlineStr">
        <is>
          <t>Office Supplies</t>
        </is>
      </c>
      <c r="F1011" t="inlineStr">
        <is>
          <t>Paper</t>
        </is>
      </c>
      <c r="G1011" t="inlineStr">
        <is>
          <t>Standard Class</t>
        </is>
      </c>
      <c r="H1011" t="n">
        <v>1</v>
      </c>
      <c r="I1011" s="11" t="n">
        <v>1183.33</v>
      </c>
      <c r="J1011" s="12" t="n">
        <v>0.3</v>
      </c>
      <c r="K1011" s="11" t="n">
        <v>828.33</v>
      </c>
      <c r="L1011" s="11" t="n">
        <v>53.52</v>
      </c>
      <c r="M1011" s="12" t="n">
        <v>0.0646</v>
      </c>
    </row>
    <row r="1012">
      <c r="A1012" t="inlineStr">
        <is>
          <t>ORD-11379</t>
        </is>
      </c>
      <c r="B1012" s="10" t="inlineStr">
        <is>
          <t>2024-12-25</t>
        </is>
      </c>
      <c r="C1012" t="inlineStr">
        <is>
          <t>Customer 93</t>
        </is>
      </c>
      <c r="D1012" t="inlineStr">
        <is>
          <t>West</t>
        </is>
      </c>
      <c r="E1012" t="inlineStr">
        <is>
          <t>Office Supplies</t>
        </is>
      </c>
      <c r="F1012" t="inlineStr">
        <is>
          <t>Paper</t>
        </is>
      </c>
      <c r="G1012" t="inlineStr">
        <is>
          <t>Standard Class</t>
        </is>
      </c>
      <c r="H1012" t="n">
        <v>1</v>
      </c>
      <c r="I1012" s="11" t="n">
        <v>1002.63</v>
      </c>
      <c r="J1012" s="12" t="n">
        <v>0.15</v>
      </c>
      <c r="K1012" s="11" t="n">
        <v>852.24</v>
      </c>
      <c r="L1012" s="11" t="n">
        <v>29.24</v>
      </c>
      <c r="M1012" s="12" t="n">
        <v>0.0343</v>
      </c>
    </row>
    <row r="1013">
      <c r="A1013" t="inlineStr">
        <is>
          <t>ORD-11092</t>
        </is>
      </c>
      <c r="B1013" s="10" t="inlineStr">
        <is>
          <t>2024-12-25</t>
        </is>
      </c>
      <c r="C1013" t="inlineStr">
        <is>
          <t>Customer 104</t>
        </is>
      </c>
      <c r="D1013" t="inlineStr">
        <is>
          <t>North</t>
        </is>
      </c>
      <c r="E1013" t="inlineStr">
        <is>
          <t>Office Supplies</t>
        </is>
      </c>
      <c r="F1013" t="inlineStr">
        <is>
          <t>Stapler</t>
        </is>
      </c>
      <c r="G1013" t="inlineStr">
        <is>
          <t>Same Day</t>
        </is>
      </c>
      <c r="H1013" t="n">
        <v>1</v>
      </c>
      <c r="I1013" s="11" t="n">
        <v>956.1900000000001</v>
      </c>
      <c r="J1013" s="12" t="n">
        <v>0.3</v>
      </c>
      <c r="K1013" s="11" t="n">
        <v>669.33</v>
      </c>
      <c r="L1013" s="11" t="n">
        <v>147.5</v>
      </c>
      <c r="M1013" s="12" t="n">
        <v>0.2204</v>
      </c>
    </row>
    <row r="1014">
      <c r="A1014" t="inlineStr">
        <is>
          <t>ORD-10315</t>
        </is>
      </c>
      <c r="B1014" s="10" t="inlineStr">
        <is>
          <t>2024-12-25</t>
        </is>
      </c>
      <c r="C1014" t="inlineStr">
        <is>
          <t>Customer 76</t>
        </is>
      </c>
      <c r="D1014" t="inlineStr">
        <is>
          <t>South</t>
        </is>
      </c>
      <c r="E1014" t="inlineStr">
        <is>
          <t>Technology</t>
        </is>
      </c>
      <c r="F1014" t="inlineStr">
        <is>
          <t>Laptop</t>
        </is>
      </c>
      <c r="G1014" t="inlineStr">
        <is>
          <t>Same Day</t>
        </is>
      </c>
      <c r="H1014" t="n">
        <v>9</v>
      </c>
      <c r="I1014" s="11" t="n">
        <v>968.65</v>
      </c>
      <c r="J1014" s="12" t="n">
        <v>0</v>
      </c>
      <c r="K1014" s="11" t="n">
        <v>8717.85</v>
      </c>
      <c r="L1014" s="11" t="n">
        <v>1523.58</v>
      </c>
      <c r="M1014" s="12" t="n">
        <v>0.1748</v>
      </c>
    </row>
    <row r="1015">
      <c r="A1015" t="inlineStr">
        <is>
          <t>ORD-10429</t>
        </is>
      </c>
      <c r="B1015" s="10" t="inlineStr">
        <is>
          <t>2024-12-25</t>
        </is>
      </c>
      <c r="C1015" t="inlineStr">
        <is>
          <t>Customer 76</t>
        </is>
      </c>
      <c r="D1015" t="inlineStr">
        <is>
          <t>South</t>
        </is>
      </c>
      <c r="E1015" t="inlineStr">
        <is>
          <t>Technology</t>
        </is>
      </c>
      <c r="F1015" t="inlineStr">
        <is>
          <t>Monitor</t>
        </is>
      </c>
      <c r="G1015" t="inlineStr">
        <is>
          <t>Second Class</t>
        </is>
      </c>
      <c r="H1015" t="n">
        <v>4</v>
      </c>
      <c r="I1015" s="11" t="n">
        <v>660.34</v>
      </c>
      <c r="J1015" s="12" t="n">
        <v>0</v>
      </c>
      <c r="K1015" s="11" t="n">
        <v>2641.36</v>
      </c>
      <c r="L1015" s="11" t="n">
        <v>1298.28</v>
      </c>
      <c r="M1015" s="12" t="n">
        <v>0.4915</v>
      </c>
    </row>
    <row r="1016">
      <c r="A1016" t="inlineStr">
        <is>
          <t>ORD-11511</t>
        </is>
      </c>
      <c r="B1016" s="10" t="inlineStr">
        <is>
          <t>2024-12-25</t>
        </is>
      </c>
      <c r="C1016" t="inlineStr">
        <is>
          <t>Customer 174</t>
        </is>
      </c>
      <c r="D1016" t="inlineStr">
        <is>
          <t>East</t>
        </is>
      </c>
      <c r="E1016" t="inlineStr">
        <is>
          <t>Furniture</t>
        </is>
      </c>
      <c r="F1016" t="inlineStr">
        <is>
          <t>Desk</t>
        </is>
      </c>
      <c r="G1016" t="inlineStr">
        <is>
          <t>First Class</t>
        </is>
      </c>
      <c r="H1016" t="n">
        <v>7</v>
      </c>
      <c r="I1016" s="11" t="n">
        <v>498.38</v>
      </c>
      <c r="J1016" s="12" t="n">
        <v>0</v>
      </c>
      <c r="K1016" s="11" t="n">
        <v>3488.66</v>
      </c>
      <c r="L1016" s="11" t="n">
        <v>656.04</v>
      </c>
      <c r="M1016" s="12" t="n">
        <v>0.188</v>
      </c>
    </row>
    <row r="1017">
      <c r="A1017" t="inlineStr">
        <is>
          <t>ORD-11656</t>
        </is>
      </c>
      <c r="B1017" s="10" t="inlineStr">
        <is>
          <t>2024-12-25</t>
        </is>
      </c>
      <c r="C1017" t="inlineStr">
        <is>
          <t>Customer 27</t>
        </is>
      </c>
      <c r="D1017" t="inlineStr">
        <is>
          <t>South</t>
        </is>
      </c>
      <c r="E1017" t="inlineStr">
        <is>
          <t>Office Supplies</t>
        </is>
      </c>
      <c r="F1017" t="inlineStr">
        <is>
          <t>Stapler</t>
        </is>
      </c>
      <c r="G1017" t="inlineStr">
        <is>
          <t>Standard Class</t>
        </is>
      </c>
      <c r="H1017" t="n">
        <v>2</v>
      </c>
      <c r="I1017" s="11" t="n">
        <v>472.27</v>
      </c>
      <c r="J1017" s="12" t="n">
        <v>0.1</v>
      </c>
      <c r="K1017" s="11" t="n">
        <v>850.09</v>
      </c>
      <c r="L1017" s="11" t="n">
        <v>278.64</v>
      </c>
      <c r="M1017" s="12" t="n">
        <v>0.3278</v>
      </c>
    </row>
    <row r="1018">
      <c r="A1018" t="inlineStr">
        <is>
          <t>ORD-10669</t>
        </is>
      </c>
      <c r="B1018" s="10" t="inlineStr">
        <is>
          <t>2024-12-26</t>
        </is>
      </c>
      <c r="C1018" t="inlineStr">
        <is>
          <t>Customer 34</t>
        </is>
      </c>
      <c r="D1018" t="inlineStr">
        <is>
          <t>East</t>
        </is>
      </c>
      <c r="E1018" t="inlineStr">
        <is>
          <t>Office Supplies</t>
        </is>
      </c>
      <c r="F1018" t="inlineStr">
        <is>
          <t>Stapler</t>
        </is>
      </c>
      <c r="G1018" t="inlineStr">
        <is>
          <t>Second Class</t>
        </is>
      </c>
      <c r="H1018" t="n">
        <v>11</v>
      </c>
      <c r="I1018" s="11" t="n">
        <v>136.01</v>
      </c>
      <c r="J1018" s="12" t="n">
        <v>0</v>
      </c>
      <c r="K1018" s="11" t="n">
        <v>1496.11</v>
      </c>
      <c r="L1018" s="11" t="n">
        <v>548.37</v>
      </c>
      <c r="M1018" s="12" t="n">
        <v>0.3665</v>
      </c>
    </row>
    <row r="1019">
      <c r="A1019" t="inlineStr">
        <is>
          <t>ORD-11682</t>
        </is>
      </c>
      <c r="B1019" s="10" t="inlineStr">
        <is>
          <t>2024-12-26</t>
        </is>
      </c>
      <c r="C1019" t="inlineStr">
        <is>
          <t>Customer 163</t>
        </is>
      </c>
      <c r="D1019" t="inlineStr">
        <is>
          <t>South</t>
        </is>
      </c>
      <c r="E1019" t="inlineStr">
        <is>
          <t>Office Supplies</t>
        </is>
      </c>
      <c r="F1019" t="inlineStr">
        <is>
          <t>Pens (Box)</t>
        </is>
      </c>
      <c r="G1019" t="inlineStr">
        <is>
          <t>Same Day</t>
        </is>
      </c>
      <c r="H1019" t="n">
        <v>4</v>
      </c>
      <c r="I1019" s="11" t="n">
        <v>1124.4</v>
      </c>
      <c r="J1019" s="12" t="n">
        <v>0</v>
      </c>
      <c r="K1019" s="11" t="n">
        <v>4497.6</v>
      </c>
      <c r="L1019" s="11" t="n">
        <v>1834.52</v>
      </c>
      <c r="M1019" s="12" t="n">
        <v>0.4079</v>
      </c>
    </row>
    <row r="1020">
      <c r="A1020" t="inlineStr">
        <is>
          <t>ORD-11452</t>
        </is>
      </c>
      <c r="B1020" s="10" t="inlineStr">
        <is>
          <t>2024-12-26</t>
        </is>
      </c>
      <c r="C1020" t="inlineStr">
        <is>
          <t>Customer 172</t>
        </is>
      </c>
      <c r="D1020" t="inlineStr">
        <is>
          <t>North</t>
        </is>
      </c>
      <c r="E1020" t="inlineStr">
        <is>
          <t>Technology</t>
        </is>
      </c>
      <c r="F1020" t="inlineStr">
        <is>
          <t>Wireless Mouse</t>
        </is>
      </c>
      <c r="G1020" t="inlineStr">
        <is>
          <t>Standard Class</t>
        </is>
      </c>
      <c r="H1020" t="n">
        <v>4</v>
      </c>
      <c r="I1020" s="11" t="n">
        <v>1101.19</v>
      </c>
      <c r="J1020" s="12" t="n">
        <v>0</v>
      </c>
      <c r="K1020" s="11" t="n">
        <v>4404.76</v>
      </c>
      <c r="L1020" s="11" t="n">
        <v>880.5</v>
      </c>
      <c r="M1020" s="12" t="n">
        <v>0.1999</v>
      </c>
    </row>
    <row r="1021">
      <c r="A1021" t="inlineStr">
        <is>
          <t>ORD-11846</t>
        </is>
      </c>
      <c r="B1021" s="10" t="inlineStr">
        <is>
          <t>2024-12-27</t>
        </is>
      </c>
      <c r="C1021" t="inlineStr">
        <is>
          <t>Customer 52</t>
        </is>
      </c>
      <c r="D1021" t="inlineStr">
        <is>
          <t>North</t>
        </is>
      </c>
      <c r="E1021" t="inlineStr">
        <is>
          <t>Furniture</t>
        </is>
      </c>
      <c r="F1021" t="inlineStr">
        <is>
          <t>Desk</t>
        </is>
      </c>
      <c r="G1021" t="inlineStr">
        <is>
          <t>Same Day</t>
        </is>
      </c>
      <c r="H1021" t="n">
        <v>4</v>
      </c>
      <c r="I1021" s="11" t="n">
        <v>471.36</v>
      </c>
      <c r="J1021" s="12" t="n">
        <v>0</v>
      </c>
      <c r="K1021" s="11" t="n">
        <v>1885.44</v>
      </c>
      <c r="L1021" s="11" t="n">
        <v>866.35</v>
      </c>
      <c r="M1021" s="12" t="n">
        <v>0.4595</v>
      </c>
    </row>
    <row r="1022">
      <c r="A1022" t="inlineStr">
        <is>
          <t>ORD-10308</t>
        </is>
      </c>
      <c r="B1022" s="10" t="inlineStr">
        <is>
          <t>2024-12-27</t>
        </is>
      </c>
      <c r="C1022" t="inlineStr">
        <is>
          <t>Customer 186</t>
        </is>
      </c>
      <c r="D1022" t="inlineStr">
        <is>
          <t>South</t>
        </is>
      </c>
      <c r="E1022" t="inlineStr">
        <is>
          <t>Office Supplies</t>
        </is>
      </c>
      <c r="F1022" t="inlineStr">
        <is>
          <t>Paper</t>
        </is>
      </c>
      <c r="G1022" t="inlineStr">
        <is>
          <t>Standard Class</t>
        </is>
      </c>
      <c r="H1022" t="n">
        <v>7</v>
      </c>
      <c r="I1022" s="11" t="n">
        <v>153.11</v>
      </c>
      <c r="J1022" s="12" t="n">
        <v>0</v>
      </c>
      <c r="K1022" s="11" t="n">
        <v>1071.77</v>
      </c>
      <c r="L1022" s="11" t="n">
        <v>255.63</v>
      </c>
      <c r="M1022" s="12" t="n">
        <v>0.2385</v>
      </c>
    </row>
    <row r="1023">
      <c r="A1023" t="inlineStr">
        <is>
          <t>ORD-10962</t>
        </is>
      </c>
      <c r="B1023" s="10" t="inlineStr">
        <is>
          <t>2024-12-27</t>
        </is>
      </c>
      <c r="C1023" t="inlineStr">
        <is>
          <t>Customer 186</t>
        </is>
      </c>
      <c r="D1023" t="inlineStr">
        <is>
          <t>South</t>
        </is>
      </c>
      <c r="E1023" t="inlineStr">
        <is>
          <t>Technology</t>
        </is>
      </c>
      <c r="F1023" t="inlineStr">
        <is>
          <t>Printer</t>
        </is>
      </c>
      <c r="G1023" t="inlineStr">
        <is>
          <t>Same Day</t>
        </is>
      </c>
      <c r="H1023" t="n">
        <v>6</v>
      </c>
      <c r="I1023" s="11" t="n">
        <v>828.13</v>
      </c>
      <c r="J1023" s="12" t="n">
        <v>0.1</v>
      </c>
      <c r="K1023" s="11" t="n">
        <v>4471.9</v>
      </c>
      <c r="L1023" s="11" t="n">
        <v>388.83</v>
      </c>
      <c r="M1023" s="12" t="n">
        <v>0.08690000000000001</v>
      </c>
    </row>
    <row r="1024">
      <c r="A1024" t="inlineStr">
        <is>
          <t>ORD-10881</t>
        </is>
      </c>
      <c r="B1024" s="10" t="inlineStr">
        <is>
          <t>2024-12-28</t>
        </is>
      </c>
      <c r="C1024" t="inlineStr">
        <is>
          <t>Customer 185</t>
        </is>
      </c>
      <c r="D1024" t="inlineStr">
        <is>
          <t>South</t>
        </is>
      </c>
      <c r="E1024" t="inlineStr">
        <is>
          <t>Office Supplies</t>
        </is>
      </c>
      <c r="F1024" t="inlineStr">
        <is>
          <t>Binder</t>
        </is>
      </c>
      <c r="G1024" t="inlineStr">
        <is>
          <t>Second Class</t>
        </is>
      </c>
      <c r="H1024" t="n">
        <v>10</v>
      </c>
      <c r="I1024" s="11" t="n">
        <v>866.5</v>
      </c>
      <c r="J1024" s="12" t="n">
        <v>0</v>
      </c>
      <c r="K1024" s="11" t="n">
        <v>8665</v>
      </c>
      <c r="L1024" s="11" t="n">
        <v>3221.86</v>
      </c>
      <c r="M1024" s="12" t="n">
        <v>0.3718</v>
      </c>
    </row>
    <row r="1025">
      <c r="A1025" t="inlineStr">
        <is>
          <t>ORD-11361</t>
        </is>
      </c>
      <c r="B1025" s="10" t="inlineStr">
        <is>
          <t>2024-12-28</t>
        </is>
      </c>
      <c r="C1025" t="inlineStr">
        <is>
          <t>Customer 51</t>
        </is>
      </c>
      <c r="D1025" t="inlineStr">
        <is>
          <t>West</t>
        </is>
      </c>
      <c r="E1025" t="inlineStr">
        <is>
          <t>Furniture</t>
        </is>
      </c>
      <c r="F1025" t="inlineStr">
        <is>
          <t>Chair</t>
        </is>
      </c>
      <c r="G1025" t="inlineStr">
        <is>
          <t>Same Day</t>
        </is>
      </c>
      <c r="H1025" t="n">
        <v>2</v>
      </c>
      <c r="I1025" s="11" t="n">
        <v>87.40000000000001</v>
      </c>
      <c r="J1025" s="12" t="n">
        <v>0.1</v>
      </c>
      <c r="K1025" s="11" t="n">
        <v>157.32</v>
      </c>
      <c r="L1025" s="11" t="n">
        <v>21.84</v>
      </c>
      <c r="M1025" s="12" t="n">
        <v>0.1388</v>
      </c>
    </row>
    <row r="1026">
      <c r="A1026" t="inlineStr">
        <is>
          <t>ORD-10342</t>
        </is>
      </c>
      <c r="B1026" s="10" t="inlineStr">
        <is>
          <t>2024-12-28</t>
        </is>
      </c>
      <c r="C1026" t="inlineStr">
        <is>
          <t>Customer 28</t>
        </is>
      </c>
      <c r="D1026" t="inlineStr">
        <is>
          <t>West</t>
        </is>
      </c>
      <c r="E1026" t="inlineStr">
        <is>
          <t>Furniture</t>
        </is>
      </c>
      <c r="F1026" t="inlineStr">
        <is>
          <t>Table Lamp</t>
        </is>
      </c>
      <c r="G1026" t="inlineStr">
        <is>
          <t>Second Class</t>
        </is>
      </c>
      <c r="H1026" t="n">
        <v>10</v>
      </c>
      <c r="I1026" s="11" t="n">
        <v>1103.5</v>
      </c>
      <c r="J1026" s="12" t="n">
        <v>0</v>
      </c>
      <c r="K1026" s="11" t="n">
        <v>11035</v>
      </c>
      <c r="L1026" s="11" t="n">
        <v>5258.81</v>
      </c>
      <c r="M1026" s="12" t="n">
        <v>0.4766</v>
      </c>
    </row>
    <row r="1027">
      <c r="A1027" t="inlineStr">
        <is>
          <t>ORD-11947</t>
        </is>
      </c>
      <c r="B1027" s="10" t="inlineStr">
        <is>
          <t>2024-12-29</t>
        </is>
      </c>
      <c r="C1027" t="inlineStr">
        <is>
          <t>Customer 14</t>
        </is>
      </c>
      <c r="D1027" t="inlineStr">
        <is>
          <t>West</t>
        </is>
      </c>
      <c r="E1027" t="inlineStr">
        <is>
          <t>Technology</t>
        </is>
      </c>
      <c r="F1027" t="inlineStr">
        <is>
          <t>Monitor</t>
        </is>
      </c>
      <c r="G1027" t="inlineStr">
        <is>
          <t>Standard Class</t>
        </is>
      </c>
      <c r="H1027" t="n">
        <v>11</v>
      </c>
      <c r="I1027" s="11" t="n">
        <v>161.3</v>
      </c>
      <c r="J1027" s="12" t="n">
        <v>0</v>
      </c>
      <c r="K1027" s="11" t="n">
        <v>1774.3</v>
      </c>
      <c r="L1027" s="11" t="n">
        <v>795.17</v>
      </c>
      <c r="M1027" s="12" t="n">
        <v>0.4482</v>
      </c>
    </row>
    <row r="1028">
      <c r="A1028" t="inlineStr">
        <is>
          <t>ORD-11367</t>
        </is>
      </c>
      <c r="B1028" s="10" t="inlineStr">
        <is>
          <t>2024-12-29</t>
        </is>
      </c>
      <c r="C1028" t="inlineStr">
        <is>
          <t>Customer 83</t>
        </is>
      </c>
      <c r="D1028" t="inlineStr">
        <is>
          <t>North</t>
        </is>
      </c>
      <c r="E1028" t="inlineStr">
        <is>
          <t>Technology</t>
        </is>
      </c>
      <c r="F1028" t="inlineStr">
        <is>
          <t>Wireless Mouse</t>
        </is>
      </c>
      <c r="G1028" t="inlineStr">
        <is>
          <t>Same Day</t>
        </is>
      </c>
      <c r="H1028" t="n">
        <v>6</v>
      </c>
      <c r="I1028" s="11" t="n">
        <v>685.62</v>
      </c>
      <c r="J1028" s="12" t="n">
        <v>0</v>
      </c>
      <c r="K1028" s="11" t="n">
        <v>4113.72</v>
      </c>
      <c r="L1028" s="11" t="n">
        <v>866.75</v>
      </c>
      <c r="M1028" s="12" t="n">
        <v>0.2107</v>
      </c>
    </row>
    <row r="1029">
      <c r="A1029" t="inlineStr">
        <is>
          <t>ORD-10212</t>
        </is>
      </c>
      <c r="B1029" s="10" t="inlineStr">
        <is>
          <t>2024-12-29</t>
        </is>
      </c>
      <c r="C1029" t="inlineStr">
        <is>
          <t>Customer 141</t>
        </is>
      </c>
      <c r="D1029" t="inlineStr">
        <is>
          <t>West</t>
        </is>
      </c>
      <c r="E1029" t="inlineStr">
        <is>
          <t>Office Supplies</t>
        </is>
      </c>
      <c r="F1029" t="inlineStr">
        <is>
          <t>Paper</t>
        </is>
      </c>
      <c r="G1029" t="inlineStr">
        <is>
          <t>Same Day</t>
        </is>
      </c>
      <c r="H1029" t="n">
        <v>7</v>
      </c>
      <c r="I1029" s="11" t="n">
        <v>625.86</v>
      </c>
      <c r="J1029" s="12" t="n">
        <v>0</v>
      </c>
      <c r="K1029" s="11" t="n">
        <v>4381.02</v>
      </c>
      <c r="L1029" s="11" t="n">
        <v>1520.94</v>
      </c>
      <c r="M1029" s="12" t="n">
        <v>0.3472</v>
      </c>
    </row>
    <row r="1030">
      <c r="A1030" t="inlineStr">
        <is>
          <t>ORD-11184</t>
        </is>
      </c>
      <c r="B1030" s="10" t="inlineStr">
        <is>
          <t>2024-12-31</t>
        </is>
      </c>
      <c r="C1030" t="inlineStr">
        <is>
          <t>Customer 15</t>
        </is>
      </c>
      <c r="D1030" t="inlineStr">
        <is>
          <t>East</t>
        </is>
      </c>
      <c r="E1030" t="inlineStr">
        <is>
          <t>Technology</t>
        </is>
      </c>
      <c r="F1030" t="inlineStr">
        <is>
          <t>Printer</t>
        </is>
      </c>
      <c r="G1030" t="inlineStr">
        <is>
          <t>First Class</t>
        </is>
      </c>
      <c r="H1030" t="n">
        <v>1</v>
      </c>
      <c r="I1030" s="11" t="n">
        <v>216.33</v>
      </c>
      <c r="J1030" s="12" t="n">
        <v>0</v>
      </c>
      <c r="K1030" s="11" t="n">
        <v>216.33</v>
      </c>
      <c r="L1030" s="11" t="n">
        <v>60.1</v>
      </c>
      <c r="M1030" s="12" t="n">
        <v>0.2778</v>
      </c>
    </row>
    <row r="1031">
      <c r="A1031" t="inlineStr">
        <is>
          <t>ORD-10779</t>
        </is>
      </c>
      <c r="B1031" s="10" t="inlineStr">
        <is>
          <t>2024-12-31</t>
        </is>
      </c>
      <c r="C1031" t="inlineStr">
        <is>
          <t>Customer 39</t>
        </is>
      </c>
      <c r="D1031" t="inlineStr">
        <is>
          <t>South</t>
        </is>
      </c>
      <c r="E1031" t="inlineStr">
        <is>
          <t>Technology</t>
        </is>
      </c>
      <c r="F1031" t="inlineStr">
        <is>
          <t>Monitor</t>
        </is>
      </c>
      <c r="G1031" t="inlineStr">
        <is>
          <t>Same Day</t>
        </is>
      </c>
      <c r="H1031" t="n">
        <v>6</v>
      </c>
      <c r="I1031" s="11" t="n">
        <v>365.61</v>
      </c>
      <c r="J1031" s="12" t="n">
        <v>0.3</v>
      </c>
      <c r="K1031" s="11" t="n">
        <v>1535.56</v>
      </c>
      <c r="L1031" s="11" t="n">
        <v>-282.62</v>
      </c>
      <c r="M1031" s="12" t="n">
        <v>-0.1841</v>
      </c>
    </row>
    <row r="1032">
      <c r="A1032" t="inlineStr">
        <is>
          <t>ORD-10348</t>
        </is>
      </c>
      <c r="B1032" s="10" t="inlineStr">
        <is>
          <t>2024-12-31</t>
        </is>
      </c>
      <c r="C1032" t="inlineStr">
        <is>
          <t>Customer 55</t>
        </is>
      </c>
      <c r="D1032" t="inlineStr">
        <is>
          <t>South</t>
        </is>
      </c>
      <c r="E1032" t="inlineStr">
        <is>
          <t>Office Supplies</t>
        </is>
      </c>
      <c r="F1032" t="inlineStr">
        <is>
          <t>Binder</t>
        </is>
      </c>
      <c r="G1032" t="inlineStr">
        <is>
          <t>Standard Class</t>
        </is>
      </c>
      <c r="H1032" t="n">
        <v>1</v>
      </c>
      <c r="I1032" s="11" t="n">
        <v>1186.96</v>
      </c>
      <c r="J1032" s="12" t="n">
        <v>0</v>
      </c>
      <c r="K1032" s="11" t="n">
        <v>1186.96</v>
      </c>
      <c r="L1032" s="11" t="n">
        <v>248.38</v>
      </c>
      <c r="M1032" s="12" t="n">
        <v>0.2093</v>
      </c>
    </row>
    <row r="1033">
      <c r="A1033" t="inlineStr">
        <is>
          <t>ORD-10709</t>
        </is>
      </c>
      <c r="B1033" s="10" t="inlineStr">
        <is>
          <t>2024-12-31</t>
        </is>
      </c>
      <c r="C1033" t="inlineStr">
        <is>
          <t>Customer 92</t>
        </is>
      </c>
      <c r="D1033" t="inlineStr">
        <is>
          <t>West</t>
        </is>
      </c>
      <c r="E1033" t="inlineStr">
        <is>
          <t>Technology</t>
        </is>
      </c>
      <c r="F1033" t="inlineStr">
        <is>
          <t>Wireless Mouse</t>
        </is>
      </c>
      <c r="G1033" t="inlineStr">
        <is>
          <t>Second Class</t>
        </is>
      </c>
      <c r="H1033" t="n">
        <v>5</v>
      </c>
      <c r="I1033" s="11" t="n">
        <v>165</v>
      </c>
      <c r="J1033" s="12" t="n">
        <v>0</v>
      </c>
      <c r="K1033" s="11" t="n">
        <v>825</v>
      </c>
      <c r="L1033" s="11" t="n">
        <v>387.54</v>
      </c>
      <c r="M1033" s="12" t="n">
        <v>0.4697</v>
      </c>
    </row>
    <row r="1034">
      <c r="A1034" t="inlineStr">
        <is>
          <t>ORD-10299</t>
        </is>
      </c>
      <c r="B1034" s="10" t="inlineStr">
        <is>
          <t>2025-01-01</t>
        </is>
      </c>
      <c r="C1034" t="inlineStr">
        <is>
          <t>Customer 135</t>
        </is>
      </c>
      <c r="D1034" t="inlineStr">
        <is>
          <t>West</t>
        </is>
      </c>
      <c r="E1034" t="inlineStr">
        <is>
          <t>Furniture</t>
        </is>
      </c>
      <c r="F1034" t="inlineStr">
        <is>
          <t>Table Lamp</t>
        </is>
      </c>
      <c r="G1034" t="inlineStr">
        <is>
          <t>Second Class</t>
        </is>
      </c>
      <c r="H1034" t="n">
        <v>7</v>
      </c>
      <c r="I1034" s="11" t="n">
        <v>917.79</v>
      </c>
      <c r="J1034" s="12" t="n">
        <v>0</v>
      </c>
      <c r="K1034" s="11" t="n">
        <v>6424.53</v>
      </c>
      <c r="L1034" s="11" t="n">
        <v>1441.38</v>
      </c>
      <c r="M1034" s="12" t="n">
        <v>0.2244</v>
      </c>
    </row>
    <row r="1035">
      <c r="A1035" t="inlineStr">
        <is>
          <t>ORD-10817</t>
        </is>
      </c>
      <c r="B1035" s="10" t="inlineStr">
        <is>
          <t>2025-01-01</t>
        </is>
      </c>
      <c r="C1035" t="inlineStr">
        <is>
          <t>Customer 174</t>
        </is>
      </c>
      <c r="D1035" t="inlineStr">
        <is>
          <t>East</t>
        </is>
      </c>
      <c r="E1035" t="inlineStr">
        <is>
          <t>Technology</t>
        </is>
      </c>
      <c r="F1035" t="inlineStr">
        <is>
          <t>Monitor</t>
        </is>
      </c>
      <c r="G1035" t="inlineStr">
        <is>
          <t>Same Day</t>
        </is>
      </c>
      <c r="H1035" t="n">
        <v>9</v>
      </c>
      <c r="I1035" s="11" t="n">
        <v>428.81</v>
      </c>
      <c r="J1035" s="12" t="n">
        <v>0</v>
      </c>
      <c r="K1035" s="11" t="n">
        <v>3859.29</v>
      </c>
      <c r="L1035" s="11" t="n">
        <v>1623.69</v>
      </c>
      <c r="M1035" s="12" t="n">
        <v>0.4207</v>
      </c>
    </row>
    <row r="1036">
      <c r="A1036" t="inlineStr">
        <is>
          <t>ORD-10916</t>
        </is>
      </c>
      <c r="B1036" s="10" t="inlineStr">
        <is>
          <t>2025-01-01</t>
        </is>
      </c>
      <c r="C1036" t="inlineStr">
        <is>
          <t>Customer 3</t>
        </is>
      </c>
      <c r="D1036" t="inlineStr">
        <is>
          <t>East</t>
        </is>
      </c>
      <c r="E1036" t="inlineStr">
        <is>
          <t>Furniture</t>
        </is>
      </c>
      <c r="F1036" t="inlineStr">
        <is>
          <t>Desk</t>
        </is>
      </c>
      <c r="G1036" t="inlineStr">
        <is>
          <t>Standard Class</t>
        </is>
      </c>
      <c r="H1036" t="n">
        <v>5</v>
      </c>
      <c r="I1036" s="11" t="n">
        <v>521.0599999999999</v>
      </c>
      <c r="J1036" s="12" t="n">
        <v>0</v>
      </c>
      <c r="K1036" s="11" t="n">
        <v>2605.3</v>
      </c>
      <c r="L1036" s="11" t="n">
        <v>528.4299999999999</v>
      </c>
      <c r="M1036" s="12" t="n">
        <v>0.2028</v>
      </c>
    </row>
    <row r="1037">
      <c r="A1037" t="inlineStr">
        <is>
          <t>ORD-11343</t>
        </is>
      </c>
      <c r="B1037" s="10" t="inlineStr">
        <is>
          <t>2025-01-02</t>
        </is>
      </c>
      <c r="C1037" t="inlineStr">
        <is>
          <t>Customer 9</t>
        </is>
      </c>
      <c r="D1037" t="inlineStr">
        <is>
          <t>North</t>
        </is>
      </c>
      <c r="E1037" t="inlineStr">
        <is>
          <t>Office Supplies</t>
        </is>
      </c>
      <c r="F1037" t="inlineStr">
        <is>
          <t>Pens (Box)</t>
        </is>
      </c>
      <c r="G1037" t="inlineStr">
        <is>
          <t>First Class</t>
        </is>
      </c>
      <c r="H1037" t="n">
        <v>10</v>
      </c>
      <c r="I1037" s="11" t="n">
        <v>1051.64</v>
      </c>
      <c r="J1037" s="12" t="n">
        <v>0.1</v>
      </c>
      <c r="K1037" s="11" t="n">
        <v>9464.76</v>
      </c>
      <c r="L1037" s="11" t="n">
        <v>684.49</v>
      </c>
      <c r="M1037" s="12" t="n">
        <v>0.0723</v>
      </c>
    </row>
    <row r="1038">
      <c r="A1038" t="inlineStr">
        <is>
          <t>ORD-11829</t>
        </is>
      </c>
      <c r="B1038" s="10" t="inlineStr">
        <is>
          <t>2025-01-02</t>
        </is>
      </c>
      <c r="C1038" t="inlineStr">
        <is>
          <t>Customer 139</t>
        </is>
      </c>
      <c r="D1038" t="inlineStr">
        <is>
          <t>South</t>
        </is>
      </c>
      <c r="E1038" t="inlineStr">
        <is>
          <t>Technology</t>
        </is>
      </c>
      <c r="F1038" t="inlineStr">
        <is>
          <t>Laptop</t>
        </is>
      </c>
      <c r="G1038" t="inlineStr">
        <is>
          <t>First Class</t>
        </is>
      </c>
      <c r="H1038" t="n">
        <v>3</v>
      </c>
      <c r="I1038" s="11" t="n">
        <v>218.58</v>
      </c>
      <c r="J1038" s="12" t="n">
        <v>0</v>
      </c>
      <c r="K1038" s="11" t="n">
        <v>655.74</v>
      </c>
      <c r="L1038" s="11" t="n">
        <v>303.01</v>
      </c>
      <c r="M1038" s="12" t="n">
        <v>0.4621</v>
      </c>
    </row>
    <row r="1039">
      <c r="A1039" t="inlineStr">
        <is>
          <t>ORD-11550</t>
        </is>
      </c>
      <c r="B1039" s="10" t="inlineStr">
        <is>
          <t>2025-01-02</t>
        </is>
      </c>
      <c r="C1039" t="inlineStr">
        <is>
          <t>Customer 142</t>
        </is>
      </c>
      <c r="D1039" t="inlineStr">
        <is>
          <t>North</t>
        </is>
      </c>
      <c r="E1039" t="inlineStr">
        <is>
          <t>Furniture</t>
        </is>
      </c>
      <c r="F1039" t="inlineStr">
        <is>
          <t>Chair</t>
        </is>
      </c>
      <c r="G1039" t="inlineStr">
        <is>
          <t>Standard Class</t>
        </is>
      </c>
      <c r="H1039" t="n">
        <v>5</v>
      </c>
      <c r="I1039" s="11" t="n">
        <v>384.9</v>
      </c>
      <c r="J1039" s="12" t="n">
        <v>0.15</v>
      </c>
      <c r="K1039" s="11" t="n">
        <v>1635.83</v>
      </c>
      <c r="L1039" s="11" t="n">
        <v>545.98</v>
      </c>
      <c r="M1039" s="12" t="n">
        <v>0.3338</v>
      </c>
    </row>
    <row r="1040">
      <c r="A1040" t="inlineStr">
        <is>
          <t>ORD-11288</t>
        </is>
      </c>
      <c r="B1040" s="10" t="inlineStr">
        <is>
          <t>2025-01-02</t>
        </is>
      </c>
      <c r="C1040" t="inlineStr">
        <is>
          <t>Customer 73</t>
        </is>
      </c>
      <c r="D1040" t="inlineStr">
        <is>
          <t>South</t>
        </is>
      </c>
      <c r="E1040" t="inlineStr">
        <is>
          <t>Furniture</t>
        </is>
      </c>
      <c r="F1040" t="inlineStr">
        <is>
          <t>Desk</t>
        </is>
      </c>
      <c r="G1040" t="inlineStr">
        <is>
          <t>Same Day</t>
        </is>
      </c>
      <c r="H1040" t="n">
        <v>1</v>
      </c>
      <c r="I1040" s="11" t="n">
        <v>629.36</v>
      </c>
      <c r="J1040" s="12" t="n">
        <v>0</v>
      </c>
      <c r="K1040" s="11" t="n">
        <v>629.36</v>
      </c>
      <c r="L1040" s="11" t="n">
        <v>215.97</v>
      </c>
      <c r="M1040" s="12" t="n">
        <v>0.3432</v>
      </c>
    </row>
    <row r="1041">
      <c r="A1041" t="inlineStr">
        <is>
          <t>ORD-11922</t>
        </is>
      </c>
      <c r="B1041" s="10" t="inlineStr">
        <is>
          <t>2025-01-03</t>
        </is>
      </c>
      <c r="C1041" t="inlineStr">
        <is>
          <t>Customer 166</t>
        </is>
      </c>
      <c r="D1041" t="inlineStr">
        <is>
          <t>West</t>
        </is>
      </c>
      <c r="E1041" t="inlineStr">
        <is>
          <t>Technology</t>
        </is>
      </c>
      <c r="F1041" t="inlineStr">
        <is>
          <t>Monitor</t>
        </is>
      </c>
      <c r="G1041" t="inlineStr">
        <is>
          <t>Same Day</t>
        </is>
      </c>
      <c r="H1041" t="n">
        <v>5</v>
      </c>
      <c r="I1041" s="11" t="n">
        <v>925.9299999999999</v>
      </c>
      <c r="J1041" s="12" t="n">
        <v>0</v>
      </c>
      <c r="K1041" s="11" t="n">
        <v>4629.65</v>
      </c>
      <c r="L1041" s="11" t="n">
        <v>903.0599999999999</v>
      </c>
      <c r="M1041" s="12" t="n">
        <v>0.1951</v>
      </c>
    </row>
    <row r="1042">
      <c r="A1042" t="inlineStr">
        <is>
          <t>ORD-11300</t>
        </is>
      </c>
      <c r="B1042" s="10" t="inlineStr">
        <is>
          <t>2025-01-03</t>
        </is>
      </c>
      <c r="C1042" t="inlineStr">
        <is>
          <t>Customer 138</t>
        </is>
      </c>
      <c r="D1042" t="inlineStr">
        <is>
          <t>North</t>
        </is>
      </c>
      <c r="E1042" t="inlineStr">
        <is>
          <t>Office Supplies</t>
        </is>
      </c>
      <c r="F1042" t="inlineStr">
        <is>
          <t>Binder</t>
        </is>
      </c>
      <c r="G1042" t="inlineStr">
        <is>
          <t>First Class</t>
        </is>
      </c>
      <c r="H1042" t="n">
        <v>6</v>
      </c>
      <c r="I1042" s="11" t="n">
        <v>896.39</v>
      </c>
      <c r="J1042" s="12" t="n">
        <v>0</v>
      </c>
      <c r="K1042" s="11" t="n">
        <v>5378.34</v>
      </c>
      <c r="L1042" s="11" t="n">
        <v>1289.42</v>
      </c>
      <c r="M1042" s="12" t="n">
        <v>0.2397</v>
      </c>
    </row>
    <row r="1043">
      <c r="A1043" t="inlineStr">
        <is>
          <t>ORD-10782</t>
        </is>
      </c>
      <c r="B1043" s="10" t="inlineStr">
        <is>
          <t>2025-01-03</t>
        </is>
      </c>
      <c r="C1043" t="inlineStr">
        <is>
          <t>Customer 82</t>
        </is>
      </c>
      <c r="D1043" t="inlineStr">
        <is>
          <t>South</t>
        </is>
      </c>
      <c r="E1043" t="inlineStr">
        <is>
          <t>Technology</t>
        </is>
      </c>
      <c r="F1043" t="inlineStr">
        <is>
          <t>Laptop</t>
        </is>
      </c>
      <c r="G1043" t="inlineStr">
        <is>
          <t>Standard Class</t>
        </is>
      </c>
      <c r="H1043" t="n">
        <v>1</v>
      </c>
      <c r="I1043" s="11" t="n">
        <v>636.34</v>
      </c>
      <c r="J1043" s="12" t="n">
        <v>0.1</v>
      </c>
      <c r="K1043" s="11" t="n">
        <v>572.71</v>
      </c>
      <c r="L1043" s="11" t="n">
        <v>168.81</v>
      </c>
      <c r="M1043" s="12" t="n">
        <v>0.2948</v>
      </c>
    </row>
    <row r="1044">
      <c r="A1044" t="inlineStr">
        <is>
          <t>ORD-10166</t>
        </is>
      </c>
      <c r="B1044" s="10" t="inlineStr">
        <is>
          <t>2025-01-03</t>
        </is>
      </c>
      <c r="C1044" t="inlineStr">
        <is>
          <t>Customer 62</t>
        </is>
      </c>
      <c r="D1044" t="inlineStr">
        <is>
          <t>East</t>
        </is>
      </c>
      <c r="E1044" t="inlineStr">
        <is>
          <t>Furniture</t>
        </is>
      </c>
      <c r="F1044" t="inlineStr">
        <is>
          <t>Table Lamp</t>
        </is>
      </c>
      <c r="G1044" t="inlineStr">
        <is>
          <t>Standard Class</t>
        </is>
      </c>
      <c r="H1044" t="n">
        <v>3</v>
      </c>
      <c r="I1044" s="11" t="n">
        <v>901.5700000000001</v>
      </c>
      <c r="J1044" s="12" t="n">
        <v>0</v>
      </c>
      <c r="K1044" s="11" t="n">
        <v>2704.71</v>
      </c>
      <c r="L1044" s="11" t="n">
        <v>1004.08</v>
      </c>
      <c r="M1044" s="12" t="n">
        <v>0.3712</v>
      </c>
    </row>
    <row r="1045">
      <c r="A1045" t="inlineStr">
        <is>
          <t>ORD-11952</t>
        </is>
      </c>
      <c r="B1045" s="10" t="inlineStr">
        <is>
          <t>2025-01-03</t>
        </is>
      </c>
      <c r="C1045" t="inlineStr">
        <is>
          <t>Customer 62</t>
        </is>
      </c>
      <c r="D1045" t="inlineStr">
        <is>
          <t>East</t>
        </is>
      </c>
      <c r="E1045" t="inlineStr">
        <is>
          <t>Technology</t>
        </is>
      </c>
      <c r="F1045" t="inlineStr">
        <is>
          <t>Printer</t>
        </is>
      </c>
      <c r="G1045" t="inlineStr">
        <is>
          <t>Same Day</t>
        </is>
      </c>
      <c r="H1045" t="n">
        <v>6</v>
      </c>
      <c r="I1045" s="11" t="n">
        <v>721.38</v>
      </c>
      <c r="J1045" s="12" t="n">
        <v>0</v>
      </c>
      <c r="K1045" s="11" t="n">
        <v>4328.28</v>
      </c>
      <c r="L1045" s="11" t="n">
        <v>1088.05</v>
      </c>
      <c r="M1045" s="12" t="n">
        <v>0.2514</v>
      </c>
    </row>
    <row r="1046">
      <c r="A1046" t="inlineStr">
        <is>
          <t>ORD-10028</t>
        </is>
      </c>
      <c r="B1046" s="10" t="inlineStr">
        <is>
          <t>2025-01-03</t>
        </is>
      </c>
      <c r="C1046" t="inlineStr">
        <is>
          <t>Customer 178</t>
        </is>
      </c>
      <c r="D1046" t="inlineStr">
        <is>
          <t>North</t>
        </is>
      </c>
      <c r="E1046" t="inlineStr">
        <is>
          <t>Office Supplies</t>
        </is>
      </c>
      <c r="F1046" t="inlineStr">
        <is>
          <t>Binder</t>
        </is>
      </c>
      <c r="G1046" t="inlineStr">
        <is>
          <t>Standard Class</t>
        </is>
      </c>
      <c r="H1046" t="n">
        <v>11</v>
      </c>
      <c r="I1046" s="11" t="n">
        <v>1050.63</v>
      </c>
      <c r="J1046" s="12" t="n">
        <v>0.15</v>
      </c>
      <c r="K1046" s="11" t="n">
        <v>9823.389999999999</v>
      </c>
      <c r="L1046" s="11" t="n">
        <v>3869.07</v>
      </c>
      <c r="M1046" s="12" t="n">
        <v>0.3939</v>
      </c>
    </row>
    <row r="1047">
      <c r="A1047" t="inlineStr">
        <is>
          <t>ORD-11781</t>
        </is>
      </c>
      <c r="B1047" s="10" t="inlineStr">
        <is>
          <t>2025-01-04</t>
        </is>
      </c>
      <c r="C1047" t="inlineStr">
        <is>
          <t>Customer 100</t>
        </is>
      </c>
      <c r="D1047" t="inlineStr">
        <is>
          <t>North</t>
        </is>
      </c>
      <c r="E1047" t="inlineStr">
        <is>
          <t>Technology</t>
        </is>
      </c>
      <c r="F1047" t="inlineStr">
        <is>
          <t>Laptop</t>
        </is>
      </c>
      <c r="G1047" t="inlineStr">
        <is>
          <t>Second Class</t>
        </is>
      </c>
      <c r="H1047" t="n">
        <v>8</v>
      </c>
      <c r="I1047" s="11" t="n">
        <v>572.41</v>
      </c>
      <c r="J1047" s="12" t="n">
        <v>0.1</v>
      </c>
      <c r="K1047" s="11" t="n">
        <v>4121.35</v>
      </c>
      <c r="L1047" s="11" t="n">
        <v>1823.28</v>
      </c>
      <c r="M1047" s="12" t="n">
        <v>0.4424</v>
      </c>
    </row>
    <row r="1048">
      <c r="A1048" t="inlineStr">
        <is>
          <t>ORD-11335</t>
        </is>
      </c>
      <c r="B1048" s="10" t="inlineStr">
        <is>
          <t>2025-01-04</t>
        </is>
      </c>
      <c r="C1048" t="inlineStr">
        <is>
          <t>Customer 68</t>
        </is>
      </c>
      <c r="D1048" t="inlineStr">
        <is>
          <t>South</t>
        </is>
      </c>
      <c r="E1048" t="inlineStr">
        <is>
          <t>Office Supplies</t>
        </is>
      </c>
      <c r="F1048" t="inlineStr">
        <is>
          <t>Stapler</t>
        </is>
      </c>
      <c r="G1048" t="inlineStr">
        <is>
          <t>Standard Class</t>
        </is>
      </c>
      <c r="H1048" t="n">
        <v>8</v>
      </c>
      <c r="I1048" s="11" t="n">
        <v>904.2</v>
      </c>
      <c r="J1048" s="12" t="n">
        <v>0.1</v>
      </c>
      <c r="K1048" s="11" t="n">
        <v>6510.24</v>
      </c>
      <c r="L1048" s="11" t="n">
        <v>2438.69</v>
      </c>
      <c r="M1048" s="12" t="n">
        <v>0.3746</v>
      </c>
    </row>
    <row r="1049">
      <c r="A1049" t="inlineStr">
        <is>
          <t>ORD-11207</t>
        </is>
      </c>
      <c r="B1049" s="10" t="inlineStr">
        <is>
          <t>2025-01-05</t>
        </is>
      </c>
      <c r="C1049" t="inlineStr">
        <is>
          <t>Customer 7</t>
        </is>
      </c>
      <c r="D1049" t="inlineStr">
        <is>
          <t>North</t>
        </is>
      </c>
      <c r="E1049" t="inlineStr">
        <is>
          <t>Technology</t>
        </is>
      </c>
      <c r="F1049" t="inlineStr">
        <is>
          <t>Wireless Mouse</t>
        </is>
      </c>
      <c r="G1049" t="inlineStr">
        <is>
          <t>Standard Class</t>
        </is>
      </c>
      <c r="H1049" t="n">
        <v>2</v>
      </c>
      <c r="I1049" s="11" t="n">
        <v>438.43</v>
      </c>
      <c r="J1049" s="12" t="n">
        <v>0.1</v>
      </c>
      <c r="K1049" s="11" t="n">
        <v>789.17</v>
      </c>
      <c r="L1049" s="11" t="n">
        <v>193.09</v>
      </c>
      <c r="M1049" s="12" t="n">
        <v>0.2447</v>
      </c>
    </row>
    <row r="1050">
      <c r="A1050" t="inlineStr">
        <is>
          <t>ORD-11782</t>
        </is>
      </c>
      <c r="B1050" s="10" t="inlineStr">
        <is>
          <t>2025-01-05</t>
        </is>
      </c>
      <c r="C1050" t="inlineStr">
        <is>
          <t>Customer 179</t>
        </is>
      </c>
      <c r="D1050" t="inlineStr">
        <is>
          <t>West</t>
        </is>
      </c>
      <c r="E1050" t="inlineStr">
        <is>
          <t>Furniture</t>
        </is>
      </c>
      <c r="F1050" t="inlineStr">
        <is>
          <t>Table Lamp</t>
        </is>
      </c>
      <c r="G1050" t="inlineStr">
        <is>
          <t>Same Day</t>
        </is>
      </c>
      <c r="H1050" t="n">
        <v>3</v>
      </c>
      <c r="I1050" s="11" t="n">
        <v>440.4</v>
      </c>
      <c r="J1050" s="12" t="n">
        <v>0</v>
      </c>
      <c r="K1050" s="11" t="n">
        <v>1321.2</v>
      </c>
      <c r="L1050" s="11" t="n">
        <v>451.67</v>
      </c>
      <c r="M1050" s="12" t="n">
        <v>0.3419</v>
      </c>
    </row>
    <row r="1051">
      <c r="A1051" t="inlineStr">
        <is>
          <t>ORD-11424</t>
        </is>
      </c>
      <c r="B1051" s="10" t="inlineStr">
        <is>
          <t>2025-01-05</t>
        </is>
      </c>
      <c r="C1051" t="inlineStr">
        <is>
          <t>Customer 122</t>
        </is>
      </c>
      <c r="D1051" t="inlineStr">
        <is>
          <t>East</t>
        </is>
      </c>
      <c r="E1051" t="inlineStr">
        <is>
          <t>Furniture</t>
        </is>
      </c>
      <c r="F1051" t="inlineStr">
        <is>
          <t>Table Lamp</t>
        </is>
      </c>
      <c r="G1051" t="inlineStr">
        <is>
          <t>Second Class</t>
        </is>
      </c>
      <c r="H1051" t="n">
        <v>5</v>
      </c>
      <c r="I1051" s="11" t="n">
        <v>419.69</v>
      </c>
      <c r="J1051" s="12" t="n">
        <v>0.1</v>
      </c>
      <c r="K1051" s="11" t="n">
        <v>1888.6</v>
      </c>
      <c r="L1051" s="11" t="n">
        <v>335.49</v>
      </c>
      <c r="M1051" s="12" t="n">
        <v>0.1776</v>
      </c>
    </row>
    <row r="1052">
      <c r="A1052" t="inlineStr">
        <is>
          <t>ORD-11065</t>
        </is>
      </c>
      <c r="B1052" s="10" t="inlineStr">
        <is>
          <t>2025-01-05</t>
        </is>
      </c>
      <c r="C1052" t="inlineStr">
        <is>
          <t>Customer 151</t>
        </is>
      </c>
      <c r="D1052" t="inlineStr">
        <is>
          <t>West</t>
        </is>
      </c>
      <c r="E1052" t="inlineStr">
        <is>
          <t>Technology</t>
        </is>
      </c>
      <c r="F1052" t="inlineStr">
        <is>
          <t>Printer</t>
        </is>
      </c>
      <c r="G1052" t="inlineStr">
        <is>
          <t>Same Day</t>
        </is>
      </c>
      <c r="H1052" t="n">
        <v>1</v>
      </c>
      <c r="I1052" s="11" t="n">
        <v>37.19</v>
      </c>
      <c r="J1052" s="12" t="n">
        <v>0</v>
      </c>
      <c r="K1052" s="11" t="n">
        <v>37.19</v>
      </c>
      <c r="L1052" s="11" t="n">
        <v>5.75</v>
      </c>
      <c r="M1052" s="12" t="n">
        <v>0.1546</v>
      </c>
    </row>
    <row r="1053">
      <c r="A1053" t="inlineStr">
        <is>
          <t>ORD-11634</t>
        </is>
      </c>
      <c r="B1053" s="10" t="inlineStr">
        <is>
          <t>2025-01-05</t>
        </is>
      </c>
      <c r="C1053" t="inlineStr">
        <is>
          <t>Customer 186</t>
        </is>
      </c>
      <c r="D1053" t="inlineStr">
        <is>
          <t>South</t>
        </is>
      </c>
      <c r="E1053" t="inlineStr">
        <is>
          <t>Office Supplies</t>
        </is>
      </c>
      <c r="F1053" t="inlineStr">
        <is>
          <t>Binder</t>
        </is>
      </c>
      <c r="G1053" t="inlineStr">
        <is>
          <t>Standard Class</t>
        </is>
      </c>
      <c r="H1053" t="n">
        <v>2</v>
      </c>
      <c r="I1053" s="11" t="n">
        <v>921.04</v>
      </c>
      <c r="J1053" s="12" t="n">
        <v>0</v>
      </c>
      <c r="K1053" s="11" t="n">
        <v>1842.08</v>
      </c>
      <c r="L1053" s="11" t="n">
        <v>557.47</v>
      </c>
      <c r="M1053" s="12" t="n">
        <v>0.3026</v>
      </c>
    </row>
    <row r="1054">
      <c r="A1054" t="inlineStr">
        <is>
          <t>ORD-11202</t>
        </is>
      </c>
      <c r="B1054" s="10" t="inlineStr">
        <is>
          <t>2025-01-06</t>
        </is>
      </c>
      <c r="C1054" t="inlineStr">
        <is>
          <t>Customer 4</t>
        </is>
      </c>
      <c r="D1054" t="inlineStr">
        <is>
          <t>South</t>
        </is>
      </c>
      <c r="E1054" t="inlineStr">
        <is>
          <t>Office Supplies</t>
        </is>
      </c>
      <c r="F1054" t="inlineStr">
        <is>
          <t>Pens (Box)</t>
        </is>
      </c>
      <c r="G1054" t="inlineStr">
        <is>
          <t>Second Class</t>
        </is>
      </c>
      <c r="H1054" t="n">
        <v>1</v>
      </c>
      <c r="I1054" s="11" t="n">
        <v>437.8</v>
      </c>
      <c r="J1054" s="12" t="n">
        <v>0.3</v>
      </c>
      <c r="K1054" s="11" t="n">
        <v>306.46</v>
      </c>
      <c r="L1054" s="11" t="n">
        <v>65.95999999999999</v>
      </c>
      <c r="M1054" s="12" t="n">
        <v>0.2152</v>
      </c>
    </row>
    <row r="1055">
      <c r="A1055" t="inlineStr">
        <is>
          <t>ORD-10019</t>
        </is>
      </c>
      <c r="B1055" s="10" t="inlineStr">
        <is>
          <t>2025-01-06</t>
        </is>
      </c>
      <c r="C1055" t="inlineStr">
        <is>
          <t>Customer 98</t>
        </is>
      </c>
      <c r="D1055" t="inlineStr">
        <is>
          <t>East</t>
        </is>
      </c>
      <c r="E1055" t="inlineStr">
        <is>
          <t>Furniture</t>
        </is>
      </c>
      <c r="F1055" t="inlineStr">
        <is>
          <t>Bookcase</t>
        </is>
      </c>
      <c r="G1055" t="inlineStr">
        <is>
          <t>Second Class</t>
        </is>
      </c>
      <c r="H1055" t="n">
        <v>11</v>
      </c>
      <c r="I1055" s="11" t="n">
        <v>480.11</v>
      </c>
      <c r="J1055" s="12" t="n">
        <v>0</v>
      </c>
      <c r="K1055" s="11" t="n">
        <v>5281.21</v>
      </c>
      <c r="L1055" s="11" t="n">
        <v>1737.49</v>
      </c>
      <c r="M1055" s="12" t="n">
        <v>0.329</v>
      </c>
    </row>
    <row r="1056">
      <c r="A1056" t="inlineStr">
        <is>
          <t>ORD-10285</t>
        </is>
      </c>
      <c r="B1056" s="10" t="inlineStr">
        <is>
          <t>2025-01-06</t>
        </is>
      </c>
      <c r="C1056" t="inlineStr">
        <is>
          <t>Customer 134</t>
        </is>
      </c>
      <c r="D1056" t="inlineStr">
        <is>
          <t>East</t>
        </is>
      </c>
      <c r="E1056" t="inlineStr">
        <is>
          <t>Furniture</t>
        </is>
      </c>
      <c r="F1056" t="inlineStr">
        <is>
          <t>Bookcase</t>
        </is>
      </c>
      <c r="G1056" t="inlineStr">
        <is>
          <t>Same Day</t>
        </is>
      </c>
      <c r="H1056" t="n">
        <v>11</v>
      </c>
      <c r="I1056" s="11" t="n">
        <v>26.34</v>
      </c>
      <c r="J1056" s="12" t="n">
        <v>0.2</v>
      </c>
      <c r="K1056" s="11" t="n">
        <v>231.79</v>
      </c>
      <c r="L1056" s="11" t="n">
        <v>-9.609999999999999</v>
      </c>
      <c r="M1056" s="12" t="n">
        <v>-0.0415</v>
      </c>
    </row>
    <row r="1057">
      <c r="A1057" t="inlineStr">
        <is>
          <t>ORD-10409</t>
        </is>
      </c>
      <c r="B1057" s="10" t="inlineStr">
        <is>
          <t>2025-01-06</t>
        </is>
      </c>
      <c r="C1057" t="inlineStr">
        <is>
          <t>Customer 47</t>
        </is>
      </c>
      <c r="D1057" t="inlineStr">
        <is>
          <t>South</t>
        </is>
      </c>
      <c r="E1057" t="inlineStr">
        <is>
          <t>Office Supplies</t>
        </is>
      </c>
      <c r="F1057" t="inlineStr">
        <is>
          <t>Paper</t>
        </is>
      </c>
      <c r="G1057" t="inlineStr">
        <is>
          <t>First Class</t>
        </is>
      </c>
      <c r="H1057" t="n">
        <v>1</v>
      </c>
      <c r="I1057" s="11" t="n">
        <v>1059.08</v>
      </c>
      <c r="J1057" s="12" t="n">
        <v>0.1</v>
      </c>
      <c r="K1057" s="11" t="n">
        <v>953.17</v>
      </c>
      <c r="L1057" s="11" t="n">
        <v>101.26</v>
      </c>
      <c r="M1057" s="12" t="n">
        <v>0.1062</v>
      </c>
    </row>
    <row r="1058">
      <c r="A1058" t="inlineStr">
        <is>
          <t>ORD-10376</t>
        </is>
      </c>
      <c r="B1058" s="10" t="inlineStr">
        <is>
          <t>2025-01-07</t>
        </is>
      </c>
      <c r="C1058" t="inlineStr">
        <is>
          <t>Customer 153</t>
        </is>
      </c>
      <c r="D1058" t="inlineStr">
        <is>
          <t>West</t>
        </is>
      </c>
      <c r="E1058" t="inlineStr">
        <is>
          <t>Furniture</t>
        </is>
      </c>
      <c r="F1058" t="inlineStr">
        <is>
          <t>Chair</t>
        </is>
      </c>
      <c r="G1058" t="inlineStr">
        <is>
          <t>Standard Class</t>
        </is>
      </c>
      <c r="H1058" t="n">
        <v>6</v>
      </c>
      <c r="I1058" s="11" t="n">
        <v>581.595</v>
      </c>
      <c r="J1058" s="12" t="n">
        <v>0</v>
      </c>
      <c r="K1058" s="11" t="n">
        <v>5499.81</v>
      </c>
      <c r="L1058" s="11" t="n">
        <v>2095.97</v>
      </c>
      <c r="M1058" s="12" t="n">
        <v>0.3811</v>
      </c>
    </row>
    <row r="1059">
      <c r="A1059" t="inlineStr">
        <is>
          <t>ORD-10485</t>
        </is>
      </c>
      <c r="B1059" s="10" t="inlineStr">
        <is>
          <t>2025-01-08</t>
        </is>
      </c>
      <c r="C1059" t="inlineStr">
        <is>
          <t>Customer 182</t>
        </is>
      </c>
      <c r="D1059" t="inlineStr">
        <is>
          <t>North</t>
        </is>
      </c>
      <c r="E1059" t="inlineStr">
        <is>
          <t>Technology</t>
        </is>
      </c>
      <c r="F1059" t="inlineStr">
        <is>
          <t>Monitor</t>
        </is>
      </c>
      <c r="G1059" t="inlineStr">
        <is>
          <t>Second Class</t>
        </is>
      </c>
      <c r="H1059" t="n">
        <v>9</v>
      </c>
      <c r="I1059" s="11" t="n">
        <v>1055.91</v>
      </c>
      <c r="J1059" s="12" t="n">
        <v>0</v>
      </c>
      <c r="K1059" s="11" t="n">
        <v>9503.190000000001</v>
      </c>
      <c r="L1059" s="11" t="n">
        <v>1520.74</v>
      </c>
      <c r="M1059" s="12" t="n">
        <v>0.16</v>
      </c>
    </row>
    <row r="1060">
      <c r="A1060" t="inlineStr">
        <is>
          <t>ORD-10696</t>
        </is>
      </c>
      <c r="B1060" s="10" t="inlineStr">
        <is>
          <t>2025-01-08</t>
        </is>
      </c>
      <c r="C1060" t="inlineStr">
        <is>
          <t>Customer 179</t>
        </is>
      </c>
      <c r="D1060" t="inlineStr">
        <is>
          <t>West</t>
        </is>
      </c>
      <c r="E1060" t="inlineStr">
        <is>
          <t>Technology</t>
        </is>
      </c>
      <c r="F1060" t="inlineStr">
        <is>
          <t>Monitor</t>
        </is>
      </c>
      <c r="G1060" t="inlineStr">
        <is>
          <t>Same Day</t>
        </is>
      </c>
      <c r="H1060" t="n">
        <v>8</v>
      </c>
      <c r="I1060" s="11" t="n">
        <v>262.35</v>
      </c>
      <c r="J1060" s="12" t="n">
        <v>0.2</v>
      </c>
      <c r="K1060" s="11" t="n">
        <v>1679.04</v>
      </c>
      <c r="L1060" s="11" t="n">
        <v>160.54</v>
      </c>
      <c r="M1060" s="12" t="n">
        <v>0.0956</v>
      </c>
    </row>
    <row r="1061">
      <c r="A1061" t="inlineStr">
        <is>
          <t>ORD-11836</t>
        </is>
      </c>
      <c r="B1061" s="10" t="inlineStr">
        <is>
          <t>2025-01-08</t>
        </is>
      </c>
      <c r="C1061" t="inlineStr">
        <is>
          <t>Customer 87</t>
        </is>
      </c>
      <c r="D1061" t="inlineStr">
        <is>
          <t>North</t>
        </is>
      </c>
      <c r="E1061" t="inlineStr">
        <is>
          <t>Technology</t>
        </is>
      </c>
      <c r="F1061" t="inlineStr">
        <is>
          <t>Monitor</t>
        </is>
      </c>
      <c r="G1061" t="inlineStr">
        <is>
          <t>Standard Class</t>
        </is>
      </c>
      <c r="H1061" t="n">
        <v>11</v>
      </c>
      <c r="I1061" s="11" t="n">
        <v>237.66</v>
      </c>
      <c r="J1061" s="12" t="n">
        <v>0</v>
      </c>
      <c r="K1061" s="11" t="n">
        <v>2614.26</v>
      </c>
      <c r="L1061" s="11" t="n">
        <v>602.5599999999999</v>
      </c>
      <c r="M1061" s="12" t="n">
        <v>0.2305</v>
      </c>
    </row>
    <row r="1062">
      <c r="A1062" t="inlineStr">
        <is>
          <t>ORD-10658</t>
        </is>
      </c>
      <c r="B1062" s="10" t="inlineStr">
        <is>
          <t>2025-01-08</t>
        </is>
      </c>
      <c r="C1062" t="inlineStr">
        <is>
          <t>Customer 172</t>
        </is>
      </c>
      <c r="D1062" t="inlineStr">
        <is>
          <t>North</t>
        </is>
      </c>
      <c r="E1062" t="inlineStr">
        <is>
          <t>Office Supplies</t>
        </is>
      </c>
      <c r="F1062" t="inlineStr">
        <is>
          <t>Paper</t>
        </is>
      </c>
      <c r="G1062" t="inlineStr">
        <is>
          <t>First Class</t>
        </is>
      </c>
      <c r="H1062" t="n">
        <v>5</v>
      </c>
      <c r="I1062" s="11" t="n">
        <v>202.93</v>
      </c>
      <c r="J1062" s="12" t="n">
        <v>0</v>
      </c>
      <c r="K1062" s="11" t="n">
        <v>1014.65</v>
      </c>
      <c r="L1062" s="11" t="n">
        <v>447.06</v>
      </c>
      <c r="M1062" s="12" t="n">
        <v>0.4406</v>
      </c>
    </row>
    <row r="1063">
      <c r="A1063" t="inlineStr">
        <is>
          <t>ORD-10201</t>
        </is>
      </c>
      <c r="B1063" s="10" t="inlineStr">
        <is>
          <t>2025-01-09</t>
        </is>
      </c>
      <c r="C1063" t="inlineStr">
        <is>
          <t>Customer 64</t>
        </is>
      </c>
      <c r="D1063" t="inlineStr">
        <is>
          <t>West</t>
        </is>
      </c>
      <c r="E1063" t="inlineStr">
        <is>
          <t>Technology</t>
        </is>
      </c>
      <c r="F1063" t="inlineStr">
        <is>
          <t>Wireless Mouse</t>
        </is>
      </c>
      <c r="G1063" t="inlineStr">
        <is>
          <t>Standard Class</t>
        </is>
      </c>
      <c r="H1063" t="n">
        <v>1</v>
      </c>
      <c r="I1063" s="11" t="n">
        <v>1162.66</v>
      </c>
      <c r="J1063" s="12" t="n">
        <v>0</v>
      </c>
      <c r="K1063" s="11" t="n">
        <v>1162.66</v>
      </c>
      <c r="L1063" s="11" t="n">
        <v>504.27</v>
      </c>
      <c r="M1063" s="12" t="n">
        <v>0.4337</v>
      </c>
    </row>
    <row r="1064">
      <c r="A1064" t="inlineStr">
        <is>
          <t>ORD-11808</t>
        </is>
      </c>
      <c r="B1064" s="10" t="inlineStr">
        <is>
          <t>2025-01-09</t>
        </is>
      </c>
      <c r="C1064" t="inlineStr">
        <is>
          <t>Customer 173</t>
        </is>
      </c>
      <c r="D1064" t="inlineStr">
        <is>
          <t>West</t>
        </is>
      </c>
      <c r="E1064" t="inlineStr">
        <is>
          <t>Office Supplies</t>
        </is>
      </c>
      <c r="F1064" t="inlineStr">
        <is>
          <t>Pens (Box)</t>
        </is>
      </c>
      <c r="G1064" t="inlineStr">
        <is>
          <t>Second Class</t>
        </is>
      </c>
      <c r="H1064" t="n">
        <v>4</v>
      </c>
      <c r="I1064" s="11" t="n">
        <v>215.35</v>
      </c>
      <c r="J1064" s="12" t="n">
        <v>0</v>
      </c>
      <c r="K1064" s="11" t="n">
        <v>861.4</v>
      </c>
      <c r="L1064" s="11" t="n">
        <v>392.66</v>
      </c>
      <c r="M1064" s="12" t="n">
        <v>0.4558</v>
      </c>
    </row>
    <row r="1065">
      <c r="A1065" t="inlineStr">
        <is>
          <t>ORD-10032</t>
        </is>
      </c>
      <c r="B1065" s="10" t="inlineStr">
        <is>
          <t>2025-01-10</t>
        </is>
      </c>
      <c r="C1065" t="inlineStr">
        <is>
          <t>Customer 38</t>
        </is>
      </c>
      <c r="D1065" t="inlineStr">
        <is>
          <t>West</t>
        </is>
      </c>
      <c r="E1065" t="inlineStr">
        <is>
          <t>Office Supplies</t>
        </is>
      </c>
      <c r="F1065" t="inlineStr">
        <is>
          <t>Stapler</t>
        </is>
      </c>
      <c r="G1065" t="inlineStr">
        <is>
          <t>First Class</t>
        </is>
      </c>
      <c r="H1065" t="n">
        <v>4</v>
      </c>
      <c r="I1065" s="11" t="n">
        <v>1029.8</v>
      </c>
      <c r="J1065" s="12" t="n">
        <v>0</v>
      </c>
      <c r="K1065" s="11" t="n">
        <v>4119.2</v>
      </c>
      <c r="L1065" s="11" t="n">
        <v>1504.41</v>
      </c>
      <c r="M1065" s="12" t="n">
        <v>0.3652</v>
      </c>
    </row>
    <row r="1066">
      <c r="A1066" t="inlineStr">
        <is>
          <t>ORD-11601</t>
        </is>
      </c>
      <c r="B1066" s="10" t="inlineStr">
        <is>
          <t>2025-01-11</t>
        </is>
      </c>
      <c r="C1066" t="inlineStr">
        <is>
          <t>Customer 55</t>
        </is>
      </c>
      <c r="D1066" t="inlineStr">
        <is>
          <t>South</t>
        </is>
      </c>
      <c r="E1066" t="inlineStr">
        <is>
          <t>Technology</t>
        </is>
      </c>
      <c r="F1066" t="inlineStr">
        <is>
          <t>Printer</t>
        </is>
      </c>
      <c r="G1066" t="inlineStr">
        <is>
          <t>Second Class</t>
        </is>
      </c>
      <c r="H1066" t="n">
        <v>1</v>
      </c>
      <c r="I1066" s="11" t="n">
        <v>209.39</v>
      </c>
      <c r="J1066" s="12" t="n">
        <v>0</v>
      </c>
      <c r="K1066" s="11" t="n">
        <v>209.39</v>
      </c>
      <c r="L1066" s="11" t="n">
        <v>47.89</v>
      </c>
      <c r="M1066" s="12" t="n">
        <v>0.2287</v>
      </c>
    </row>
    <row r="1067">
      <c r="A1067" t="inlineStr">
        <is>
          <t>ORD-10027</t>
        </is>
      </c>
      <c r="B1067" s="10" t="inlineStr">
        <is>
          <t>2025-01-11</t>
        </is>
      </c>
      <c r="C1067" t="inlineStr">
        <is>
          <t>Customer 98</t>
        </is>
      </c>
      <c r="D1067" t="inlineStr">
        <is>
          <t>East</t>
        </is>
      </c>
      <c r="E1067" t="inlineStr">
        <is>
          <t>Furniture</t>
        </is>
      </c>
      <c r="F1067" t="inlineStr">
        <is>
          <t>Bookcase</t>
        </is>
      </c>
      <c r="G1067" t="inlineStr">
        <is>
          <t>Same Day</t>
        </is>
      </c>
      <c r="H1067" t="n">
        <v>1</v>
      </c>
      <c r="I1067" s="11" t="n">
        <v>213.7</v>
      </c>
      <c r="J1067" s="12" t="n">
        <v>0</v>
      </c>
      <c r="K1067" s="11" t="n">
        <v>213.7</v>
      </c>
      <c r="L1067" s="11" t="n">
        <v>62.64</v>
      </c>
      <c r="M1067" s="12" t="n">
        <v>0.2931</v>
      </c>
    </row>
    <row r="1068">
      <c r="A1068" t="inlineStr">
        <is>
          <t>ORD-10925</t>
        </is>
      </c>
      <c r="B1068" s="10" t="inlineStr">
        <is>
          <t>2025-01-11</t>
        </is>
      </c>
      <c r="C1068" t="inlineStr">
        <is>
          <t>Customer 179</t>
        </is>
      </c>
      <c r="D1068" t="inlineStr">
        <is>
          <t>West</t>
        </is>
      </c>
      <c r="E1068" t="inlineStr">
        <is>
          <t>Office Supplies</t>
        </is>
      </c>
      <c r="F1068" t="inlineStr">
        <is>
          <t>Paper</t>
        </is>
      </c>
      <c r="G1068" t="inlineStr">
        <is>
          <t>Second Class</t>
        </is>
      </c>
      <c r="H1068" t="n">
        <v>2</v>
      </c>
      <c r="I1068" s="11" t="n">
        <v>444.42</v>
      </c>
      <c r="J1068" s="12" t="n">
        <v>0</v>
      </c>
      <c r="K1068" s="11" t="n">
        <v>888.84</v>
      </c>
      <c r="L1068" s="11" t="n">
        <v>418.03</v>
      </c>
      <c r="M1068" s="12" t="n">
        <v>0.4703</v>
      </c>
    </row>
    <row r="1069">
      <c r="A1069" t="inlineStr">
        <is>
          <t>ORD-10310</t>
        </is>
      </c>
      <c r="B1069" s="10" t="inlineStr">
        <is>
          <t>2025-01-13</t>
        </is>
      </c>
      <c r="C1069" t="inlineStr">
        <is>
          <t>Customer 44</t>
        </is>
      </c>
      <c r="D1069" t="inlineStr">
        <is>
          <t>South</t>
        </is>
      </c>
      <c r="E1069" t="inlineStr">
        <is>
          <t>Technology</t>
        </is>
      </c>
      <c r="F1069" t="inlineStr">
        <is>
          <t>Laptop</t>
        </is>
      </c>
      <c r="G1069" t="inlineStr">
        <is>
          <t>Standard Class</t>
        </is>
      </c>
      <c r="H1069" t="n">
        <v>2</v>
      </c>
      <c r="I1069" s="11" t="n">
        <v>642.23</v>
      </c>
      <c r="J1069" s="12" t="n">
        <v>0</v>
      </c>
      <c r="K1069" s="11" t="n">
        <v>1284.46</v>
      </c>
      <c r="L1069" s="11" t="n">
        <v>366.6</v>
      </c>
      <c r="M1069" s="12" t="n">
        <v>0.2854</v>
      </c>
    </row>
    <row r="1070">
      <c r="A1070" t="inlineStr">
        <is>
          <t>ORD-11502</t>
        </is>
      </c>
      <c r="B1070" s="10" t="inlineStr">
        <is>
          <t>2025-01-13</t>
        </is>
      </c>
      <c r="C1070" t="inlineStr">
        <is>
          <t>Customer 141</t>
        </is>
      </c>
      <c r="D1070" t="inlineStr">
        <is>
          <t>West</t>
        </is>
      </c>
      <c r="E1070" t="inlineStr">
        <is>
          <t>Furniture</t>
        </is>
      </c>
      <c r="F1070" t="inlineStr">
        <is>
          <t>Bookcase</t>
        </is>
      </c>
      <c r="G1070" t="inlineStr">
        <is>
          <t>Standard Class</t>
        </is>
      </c>
      <c r="H1070" t="n">
        <v>4</v>
      </c>
      <c r="I1070" s="11" t="n">
        <v>602.89</v>
      </c>
      <c r="J1070" s="12" t="n">
        <v>0</v>
      </c>
      <c r="K1070" s="11" t="n">
        <v>2411.56</v>
      </c>
      <c r="L1070" s="11" t="n">
        <v>783.25</v>
      </c>
      <c r="M1070" s="12" t="n">
        <v>0.3248</v>
      </c>
    </row>
    <row r="1071">
      <c r="A1071" t="inlineStr">
        <is>
          <t>ORD-10992</t>
        </is>
      </c>
      <c r="B1071" s="10" t="inlineStr">
        <is>
          <t>2025-01-13</t>
        </is>
      </c>
      <c r="C1071" t="inlineStr">
        <is>
          <t>Customer 63</t>
        </is>
      </c>
      <c r="D1071" t="inlineStr">
        <is>
          <t>South</t>
        </is>
      </c>
      <c r="E1071" t="inlineStr">
        <is>
          <t>Furniture</t>
        </is>
      </c>
      <c r="F1071" t="inlineStr">
        <is>
          <t>Table Lamp</t>
        </is>
      </c>
      <c r="G1071" t="inlineStr">
        <is>
          <t>First Class</t>
        </is>
      </c>
      <c r="H1071" t="n">
        <v>8</v>
      </c>
      <c r="I1071" s="11" t="n">
        <v>314.31</v>
      </c>
      <c r="J1071" s="12" t="n">
        <v>0.15</v>
      </c>
      <c r="K1071" s="11" t="n">
        <v>2137.31</v>
      </c>
      <c r="L1071" s="11" t="n">
        <v>848.8</v>
      </c>
      <c r="M1071" s="12" t="n">
        <v>0.3971</v>
      </c>
    </row>
    <row r="1072">
      <c r="A1072" t="inlineStr">
        <is>
          <t>ORD-11546</t>
        </is>
      </c>
      <c r="B1072" s="10" t="inlineStr">
        <is>
          <t>2025-01-13</t>
        </is>
      </c>
      <c r="C1072" t="inlineStr">
        <is>
          <t>Customer 64</t>
        </is>
      </c>
      <c r="D1072" t="inlineStr">
        <is>
          <t>West</t>
        </is>
      </c>
      <c r="E1072" t="inlineStr">
        <is>
          <t>Office Supplies</t>
        </is>
      </c>
      <c r="F1072" t="inlineStr">
        <is>
          <t>Paper</t>
        </is>
      </c>
      <c r="G1072" t="inlineStr">
        <is>
          <t>Second Class</t>
        </is>
      </c>
      <c r="H1072" t="n">
        <v>8</v>
      </c>
      <c r="I1072" s="11" t="n">
        <v>1105.4</v>
      </c>
      <c r="J1072" s="12" t="n">
        <v>0</v>
      </c>
      <c r="K1072" s="11" t="n">
        <v>8843.200000000001</v>
      </c>
      <c r="L1072" s="11" t="n">
        <v>4247.83</v>
      </c>
      <c r="M1072" s="12" t="n">
        <v>0.4803</v>
      </c>
    </row>
    <row r="1073">
      <c r="A1073" t="inlineStr">
        <is>
          <t>ORD-10532</t>
        </is>
      </c>
      <c r="B1073" s="10" t="inlineStr">
        <is>
          <t>2025-01-14</t>
        </is>
      </c>
      <c r="C1073" t="inlineStr">
        <is>
          <t>Customer 152</t>
        </is>
      </c>
      <c r="D1073" t="inlineStr">
        <is>
          <t>South</t>
        </is>
      </c>
      <c r="E1073" t="inlineStr">
        <is>
          <t>Furniture</t>
        </is>
      </c>
      <c r="F1073" t="inlineStr">
        <is>
          <t>Desk</t>
        </is>
      </c>
      <c r="G1073" t="inlineStr">
        <is>
          <t>Same Day</t>
        </is>
      </c>
      <c r="H1073" t="n">
        <v>2</v>
      </c>
      <c r="I1073" s="11" t="n">
        <v>354.5</v>
      </c>
      <c r="J1073" s="12" t="n">
        <v>0.1</v>
      </c>
      <c r="K1073" s="11" t="n">
        <v>638.1</v>
      </c>
      <c r="L1073" s="11" t="n">
        <v>159.95</v>
      </c>
      <c r="M1073" s="12" t="n">
        <v>0.2507</v>
      </c>
    </row>
    <row r="1074">
      <c r="A1074" t="inlineStr">
        <is>
          <t>ORD-11331</t>
        </is>
      </c>
      <c r="B1074" s="10" t="inlineStr">
        <is>
          <t>2025-01-14</t>
        </is>
      </c>
      <c r="C1074" t="inlineStr">
        <is>
          <t>Customer 149</t>
        </is>
      </c>
      <c r="D1074" t="inlineStr">
        <is>
          <t>West</t>
        </is>
      </c>
      <c r="E1074" t="inlineStr">
        <is>
          <t>Technology</t>
        </is>
      </c>
      <c r="F1074" t="inlineStr">
        <is>
          <t>Printer</t>
        </is>
      </c>
      <c r="G1074" t="inlineStr">
        <is>
          <t>Second Class</t>
        </is>
      </c>
      <c r="H1074" t="n">
        <v>8</v>
      </c>
      <c r="I1074" s="11" t="n">
        <v>1028.63</v>
      </c>
      <c r="J1074" s="12" t="n">
        <v>0.1</v>
      </c>
      <c r="K1074" s="11" t="n">
        <v>7406.14</v>
      </c>
      <c r="L1074" s="11" t="n">
        <v>1720.84</v>
      </c>
      <c r="M1074" s="12" t="n">
        <v>0.2324</v>
      </c>
    </row>
    <row r="1075">
      <c r="A1075" t="inlineStr">
        <is>
          <t>ORD-10194</t>
        </is>
      </c>
      <c r="B1075" s="10" t="inlineStr">
        <is>
          <t>2025-01-14</t>
        </is>
      </c>
      <c r="C1075" t="inlineStr">
        <is>
          <t>Customer 176</t>
        </is>
      </c>
      <c r="D1075" t="inlineStr">
        <is>
          <t>South</t>
        </is>
      </c>
      <c r="E1075" t="inlineStr">
        <is>
          <t>Furniture</t>
        </is>
      </c>
      <c r="F1075" t="inlineStr">
        <is>
          <t>Chair</t>
        </is>
      </c>
      <c r="G1075" t="inlineStr">
        <is>
          <t>First Class</t>
        </is>
      </c>
      <c r="H1075" t="n">
        <v>11</v>
      </c>
      <c r="I1075" s="11" t="n">
        <v>559.09</v>
      </c>
      <c r="J1075" s="12" t="n">
        <v>0.1</v>
      </c>
      <c r="K1075" s="11" t="n">
        <v>5534.99</v>
      </c>
      <c r="L1075" s="11" t="n">
        <v>2108.29</v>
      </c>
      <c r="M1075" s="12" t="n">
        <v>0.3809</v>
      </c>
    </row>
    <row r="1076">
      <c r="A1076" t="inlineStr">
        <is>
          <t>ORD-11582</t>
        </is>
      </c>
      <c r="B1076" s="10" t="inlineStr">
        <is>
          <t>2025-01-15</t>
        </is>
      </c>
      <c r="C1076" t="inlineStr">
        <is>
          <t>Customer 198</t>
        </is>
      </c>
      <c r="D1076" t="inlineStr">
        <is>
          <t>North</t>
        </is>
      </c>
      <c r="E1076" t="inlineStr">
        <is>
          <t>Technology</t>
        </is>
      </c>
      <c r="F1076" t="inlineStr">
        <is>
          <t>Monitor</t>
        </is>
      </c>
      <c r="G1076" t="inlineStr">
        <is>
          <t>Standard Class</t>
        </is>
      </c>
      <c r="H1076" t="n">
        <v>11</v>
      </c>
      <c r="I1076" s="11" t="n">
        <v>22.87</v>
      </c>
      <c r="J1076" s="12" t="n">
        <v>0.1</v>
      </c>
      <c r="K1076" s="11" t="n">
        <v>226.41</v>
      </c>
      <c r="L1076" s="11" t="n">
        <v>46.54</v>
      </c>
      <c r="M1076" s="12" t="n">
        <v>0.2056</v>
      </c>
    </row>
    <row r="1077">
      <c r="A1077" t="inlineStr">
        <is>
          <t>ORD-10127</t>
        </is>
      </c>
      <c r="B1077" s="10" t="inlineStr">
        <is>
          <t>2025-01-15</t>
        </is>
      </c>
      <c r="C1077" t="inlineStr">
        <is>
          <t>Customer 76</t>
        </is>
      </c>
      <c r="D1077" t="inlineStr">
        <is>
          <t>South</t>
        </is>
      </c>
      <c r="E1077" t="inlineStr">
        <is>
          <t>Technology</t>
        </is>
      </c>
      <c r="F1077" t="inlineStr">
        <is>
          <t>Monitor</t>
        </is>
      </c>
      <c r="G1077" t="inlineStr">
        <is>
          <t>Standard Class</t>
        </is>
      </c>
      <c r="H1077" t="n">
        <v>2</v>
      </c>
      <c r="I1077" s="11" t="n">
        <v>1015.73</v>
      </c>
      <c r="J1077" s="12" t="n">
        <v>0</v>
      </c>
      <c r="K1077" s="11" t="n">
        <v>2031.46</v>
      </c>
      <c r="L1077" s="11" t="n">
        <v>630.1</v>
      </c>
      <c r="M1077" s="12" t="n">
        <v>0.3102</v>
      </c>
    </row>
    <row r="1078">
      <c r="A1078" t="inlineStr">
        <is>
          <t>ORD-10008</t>
        </is>
      </c>
      <c r="B1078" s="10" t="inlineStr">
        <is>
          <t>2025-01-15</t>
        </is>
      </c>
      <c r="C1078" t="inlineStr">
        <is>
          <t>Customer 23</t>
        </is>
      </c>
      <c r="D1078" t="inlineStr">
        <is>
          <t>North</t>
        </is>
      </c>
      <c r="E1078" t="inlineStr">
        <is>
          <t>Office Supplies</t>
        </is>
      </c>
      <c r="F1078" t="inlineStr">
        <is>
          <t>Binder</t>
        </is>
      </c>
      <c r="G1078" t="inlineStr">
        <is>
          <t>Same Day</t>
        </is>
      </c>
      <c r="H1078" t="n">
        <v>6</v>
      </c>
      <c r="I1078" s="11" t="n">
        <v>529.5</v>
      </c>
      <c r="J1078" s="12" t="n">
        <v>0</v>
      </c>
      <c r="K1078" s="11" t="n">
        <v>3177</v>
      </c>
      <c r="L1078" s="11" t="n">
        <v>669.7</v>
      </c>
      <c r="M1078" s="12" t="n">
        <v>0.2108</v>
      </c>
    </row>
    <row r="1079">
      <c r="A1079" t="inlineStr">
        <is>
          <t>ORD-11951</t>
        </is>
      </c>
      <c r="B1079" s="10" t="inlineStr">
        <is>
          <t>2025-01-16</t>
        </is>
      </c>
      <c r="C1079" t="inlineStr">
        <is>
          <t>Customer 40</t>
        </is>
      </c>
      <c r="D1079" t="inlineStr">
        <is>
          <t>East</t>
        </is>
      </c>
      <c r="E1079" t="inlineStr">
        <is>
          <t>Furniture</t>
        </is>
      </c>
      <c r="F1079" t="inlineStr">
        <is>
          <t>Table Lamp</t>
        </is>
      </c>
      <c r="G1079" t="inlineStr">
        <is>
          <t>Second Class</t>
        </is>
      </c>
      <c r="H1079" t="n">
        <v>4</v>
      </c>
      <c r="I1079" s="11" t="n">
        <v>23.61</v>
      </c>
      <c r="J1079" s="12" t="n">
        <v>0</v>
      </c>
      <c r="K1079" s="11" t="n">
        <v>94.44</v>
      </c>
      <c r="L1079" s="11" t="n">
        <v>21.87</v>
      </c>
      <c r="M1079" s="12" t="n">
        <v>0.2316</v>
      </c>
    </row>
    <row r="1080">
      <c r="A1080" t="inlineStr">
        <is>
          <t>ORD-10037</t>
        </is>
      </c>
      <c r="B1080" s="10" t="inlineStr">
        <is>
          <t>2025-01-16</t>
        </is>
      </c>
      <c r="C1080" t="inlineStr">
        <is>
          <t>Customer 44</t>
        </is>
      </c>
      <c r="D1080" t="inlineStr">
        <is>
          <t>South</t>
        </is>
      </c>
      <c r="E1080" t="inlineStr">
        <is>
          <t>Furniture</t>
        </is>
      </c>
      <c r="F1080" t="inlineStr">
        <is>
          <t>Table Lamp</t>
        </is>
      </c>
      <c r="G1080" t="inlineStr">
        <is>
          <t>First Class</t>
        </is>
      </c>
      <c r="H1080" t="n">
        <v>7</v>
      </c>
      <c r="I1080" s="11" t="n">
        <v>118.64</v>
      </c>
      <c r="J1080" s="12" t="n">
        <v>0.1</v>
      </c>
      <c r="K1080" s="11" t="n">
        <v>747.4299999999999</v>
      </c>
      <c r="L1080" s="11" t="n">
        <v>307.63</v>
      </c>
      <c r="M1080" s="12" t="n">
        <v>0.4116</v>
      </c>
    </row>
    <row r="1081">
      <c r="A1081" t="inlineStr">
        <is>
          <t>ORD-10040</t>
        </is>
      </c>
      <c r="B1081" s="10" t="inlineStr">
        <is>
          <t>2025-01-16</t>
        </is>
      </c>
      <c r="C1081" t="inlineStr">
        <is>
          <t>Customer 52</t>
        </is>
      </c>
      <c r="D1081" t="inlineStr">
        <is>
          <t>North</t>
        </is>
      </c>
      <c r="E1081" t="inlineStr">
        <is>
          <t>Technology</t>
        </is>
      </c>
      <c r="F1081" t="inlineStr">
        <is>
          <t>Monitor</t>
        </is>
      </c>
      <c r="G1081" t="inlineStr">
        <is>
          <t>First Class</t>
        </is>
      </c>
      <c r="H1081" t="n">
        <v>8</v>
      </c>
      <c r="I1081" s="11" t="n">
        <v>917.89</v>
      </c>
      <c r="J1081" s="12" t="n">
        <v>0.1</v>
      </c>
      <c r="K1081" s="11" t="n">
        <v>6608.81</v>
      </c>
      <c r="L1081" s="11" t="n">
        <v>1672.37</v>
      </c>
      <c r="M1081" s="12" t="n">
        <v>0.2531</v>
      </c>
    </row>
    <row r="1082">
      <c r="A1082" t="inlineStr">
        <is>
          <t>ORD-10920</t>
        </is>
      </c>
      <c r="B1082" s="10" t="inlineStr">
        <is>
          <t>2025-01-17</t>
        </is>
      </c>
      <c r="C1082" t="inlineStr">
        <is>
          <t>Customer 106</t>
        </is>
      </c>
      <c r="D1082" t="inlineStr">
        <is>
          <t>West</t>
        </is>
      </c>
      <c r="E1082" t="inlineStr">
        <is>
          <t>Furniture</t>
        </is>
      </c>
      <c r="F1082" t="inlineStr">
        <is>
          <t>Table Lamp</t>
        </is>
      </c>
      <c r="G1082" t="inlineStr">
        <is>
          <t>Same Day</t>
        </is>
      </c>
      <c r="H1082" t="n">
        <v>2</v>
      </c>
      <c r="I1082" s="11" t="n">
        <v>752.88</v>
      </c>
      <c r="J1082" s="12" t="n">
        <v>0</v>
      </c>
      <c r="K1082" s="11" t="n">
        <v>1505.76</v>
      </c>
      <c r="L1082" s="11" t="n">
        <v>716.6900000000001</v>
      </c>
      <c r="M1082" s="12" t="n">
        <v>0.476</v>
      </c>
    </row>
    <row r="1083">
      <c r="A1083" t="inlineStr">
        <is>
          <t>ORD-11711</t>
        </is>
      </c>
      <c r="B1083" s="10" t="inlineStr">
        <is>
          <t>2025-01-17</t>
        </is>
      </c>
      <c r="C1083" t="inlineStr">
        <is>
          <t>Customer 32</t>
        </is>
      </c>
      <c r="D1083" t="inlineStr">
        <is>
          <t>North</t>
        </is>
      </c>
      <c r="E1083" t="inlineStr">
        <is>
          <t>Furniture</t>
        </is>
      </c>
      <c r="F1083" t="inlineStr">
        <is>
          <t>Desk</t>
        </is>
      </c>
      <c r="G1083" t="inlineStr">
        <is>
          <t>Second Class</t>
        </is>
      </c>
      <c r="H1083" t="n">
        <v>10</v>
      </c>
      <c r="I1083" s="11" t="n">
        <v>455.16</v>
      </c>
      <c r="J1083" s="12" t="n">
        <v>0</v>
      </c>
      <c r="K1083" s="11" t="n">
        <v>4551.6</v>
      </c>
      <c r="L1083" s="11" t="n">
        <v>1051.23</v>
      </c>
      <c r="M1083" s="12" t="n">
        <v>0.231</v>
      </c>
    </row>
    <row r="1084">
      <c r="A1084" t="inlineStr">
        <is>
          <t>ORD-10715</t>
        </is>
      </c>
      <c r="B1084" s="10" t="inlineStr">
        <is>
          <t>2025-01-18</t>
        </is>
      </c>
      <c r="C1084" t="inlineStr">
        <is>
          <t>Customer 11</t>
        </is>
      </c>
      <c r="D1084" t="inlineStr">
        <is>
          <t>East</t>
        </is>
      </c>
      <c r="E1084" t="inlineStr">
        <is>
          <t>Furniture</t>
        </is>
      </c>
      <c r="F1084" t="inlineStr">
        <is>
          <t>Desk</t>
        </is>
      </c>
      <c r="G1084" t="inlineStr">
        <is>
          <t>First Class</t>
        </is>
      </c>
      <c r="H1084" t="n">
        <v>9</v>
      </c>
      <c r="I1084" s="11" t="n">
        <v>346.68</v>
      </c>
      <c r="J1084" s="12" t="n">
        <v>0</v>
      </c>
      <c r="K1084" s="11" t="n">
        <v>3120.12</v>
      </c>
      <c r="L1084" s="11" t="n">
        <v>1520.27</v>
      </c>
      <c r="M1084" s="12" t="n">
        <v>0.4872</v>
      </c>
    </row>
    <row r="1085">
      <c r="A1085" t="inlineStr">
        <is>
          <t>ORD-10775</t>
        </is>
      </c>
      <c r="B1085" s="10" t="inlineStr">
        <is>
          <t>2025-01-18</t>
        </is>
      </c>
      <c r="C1085" t="inlineStr">
        <is>
          <t>Customer 66</t>
        </is>
      </c>
      <c r="D1085" t="inlineStr">
        <is>
          <t>South</t>
        </is>
      </c>
      <c r="E1085" t="inlineStr">
        <is>
          <t>Furniture</t>
        </is>
      </c>
      <c r="F1085" t="inlineStr">
        <is>
          <t>Bookcase</t>
        </is>
      </c>
      <c r="G1085" t="inlineStr">
        <is>
          <t>Standard Class</t>
        </is>
      </c>
      <c r="H1085" t="n">
        <v>3</v>
      </c>
      <c r="I1085" s="11" t="n">
        <v>575.91</v>
      </c>
      <c r="J1085" s="12" t="n">
        <v>0.15</v>
      </c>
      <c r="K1085" s="11" t="n">
        <v>1468.57</v>
      </c>
      <c r="L1085" s="11" t="n">
        <v>302.33</v>
      </c>
      <c r="M1085" s="12" t="n">
        <v>0.2059</v>
      </c>
    </row>
    <row r="1086">
      <c r="A1086" t="inlineStr">
        <is>
          <t>ORD-10882</t>
        </is>
      </c>
      <c r="B1086" s="10" t="inlineStr">
        <is>
          <t>2025-01-18</t>
        </is>
      </c>
      <c r="C1086" t="inlineStr">
        <is>
          <t>Customer 129</t>
        </is>
      </c>
      <c r="D1086" t="inlineStr">
        <is>
          <t>East</t>
        </is>
      </c>
      <c r="E1086" t="inlineStr">
        <is>
          <t>Office Supplies</t>
        </is>
      </c>
      <c r="F1086" t="inlineStr">
        <is>
          <t>Paper</t>
        </is>
      </c>
      <c r="G1086" t="inlineStr">
        <is>
          <t>Standard Class</t>
        </is>
      </c>
      <c r="H1086" t="n">
        <v>6</v>
      </c>
      <c r="I1086" s="11" t="n">
        <v>598.415</v>
      </c>
      <c r="J1086" s="12" t="n">
        <v>0</v>
      </c>
      <c r="K1086" s="11" t="n">
        <v>3424.46</v>
      </c>
      <c r="L1086" s="11" t="n">
        <v>1124.62</v>
      </c>
      <c r="M1086" s="12" t="n">
        <v>0.3284</v>
      </c>
    </row>
    <row r="1087">
      <c r="A1087" t="inlineStr">
        <is>
          <t>ORD-10935</t>
        </is>
      </c>
      <c r="B1087" s="10" t="inlineStr">
        <is>
          <t>2025-01-19</t>
        </is>
      </c>
      <c r="C1087" t="inlineStr">
        <is>
          <t>Customer 26</t>
        </is>
      </c>
      <c r="D1087" t="inlineStr">
        <is>
          <t>East</t>
        </is>
      </c>
      <c r="E1087" t="inlineStr">
        <is>
          <t>Technology</t>
        </is>
      </c>
      <c r="F1087" t="inlineStr">
        <is>
          <t>Printer</t>
        </is>
      </c>
      <c r="G1087" t="inlineStr">
        <is>
          <t>First Class</t>
        </is>
      </c>
      <c r="H1087" t="n">
        <v>5</v>
      </c>
      <c r="I1087" s="11" t="n">
        <v>516.6</v>
      </c>
      <c r="J1087" s="12" t="n">
        <v>0</v>
      </c>
      <c r="K1087" s="11" t="n">
        <v>2583</v>
      </c>
      <c r="L1087" s="11" t="n">
        <v>395.93</v>
      </c>
      <c r="M1087" s="12" t="n">
        <v>0.1533</v>
      </c>
    </row>
    <row r="1088">
      <c r="A1088" t="inlineStr">
        <is>
          <t>ORD-10355</t>
        </is>
      </c>
      <c r="B1088" s="10" t="inlineStr">
        <is>
          <t>2025-01-19</t>
        </is>
      </c>
      <c r="C1088" t="inlineStr">
        <is>
          <t>Customer 131</t>
        </is>
      </c>
      <c r="D1088" t="inlineStr">
        <is>
          <t>East</t>
        </is>
      </c>
      <c r="E1088" t="inlineStr">
        <is>
          <t>Office Supplies</t>
        </is>
      </c>
      <c r="F1088" t="inlineStr">
        <is>
          <t>Stapler</t>
        </is>
      </c>
      <c r="G1088" t="inlineStr">
        <is>
          <t>First Class</t>
        </is>
      </c>
      <c r="H1088" t="n">
        <v>9</v>
      </c>
      <c r="I1088" s="11" t="n">
        <v>1071.59</v>
      </c>
      <c r="J1088" s="12" t="n">
        <v>0.15</v>
      </c>
      <c r="K1088" s="11" t="n">
        <v>8197.66</v>
      </c>
      <c r="L1088" s="11" t="n">
        <v>2540.85</v>
      </c>
      <c r="M1088" s="12" t="n">
        <v>0.3099</v>
      </c>
    </row>
    <row r="1089">
      <c r="A1089" t="inlineStr">
        <is>
          <t>ORD-10272</t>
        </is>
      </c>
      <c r="B1089" s="10" t="inlineStr">
        <is>
          <t>2025-01-19</t>
        </is>
      </c>
      <c r="C1089" t="inlineStr">
        <is>
          <t>Customer 19</t>
        </is>
      </c>
      <c r="D1089" t="inlineStr">
        <is>
          <t>West</t>
        </is>
      </c>
      <c r="E1089" t="inlineStr">
        <is>
          <t>Furniture</t>
        </is>
      </c>
      <c r="F1089" t="inlineStr">
        <is>
          <t>Table Lamp</t>
        </is>
      </c>
      <c r="G1089" t="inlineStr">
        <is>
          <t>Standard Class</t>
        </is>
      </c>
      <c r="H1089" t="n">
        <v>2</v>
      </c>
      <c r="I1089" s="11" t="n">
        <v>768.64</v>
      </c>
      <c r="J1089" s="12" t="n">
        <v>0.15</v>
      </c>
      <c r="K1089" s="11" t="n">
        <v>1306.69</v>
      </c>
      <c r="L1089" s="11" t="n">
        <v>36.09</v>
      </c>
      <c r="M1089" s="12" t="n">
        <v>0.0276</v>
      </c>
    </row>
    <row r="1090">
      <c r="A1090" t="inlineStr">
        <is>
          <t>ORD-11594</t>
        </is>
      </c>
      <c r="B1090" s="10" t="inlineStr">
        <is>
          <t>2025-01-19</t>
        </is>
      </c>
      <c r="C1090" t="inlineStr">
        <is>
          <t>Customer 19</t>
        </is>
      </c>
      <c r="D1090" t="inlineStr">
        <is>
          <t>West</t>
        </is>
      </c>
      <c r="E1090" t="inlineStr">
        <is>
          <t>Technology</t>
        </is>
      </c>
      <c r="F1090" t="inlineStr">
        <is>
          <t>Wireless Mouse</t>
        </is>
      </c>
      <c r="G1090" t="inlineStr">
        <is>
          <t>Same Day</t>
        </is>
      </c>
      <c r="H1090" t="n">
        <v>10</v>
      </c>
      <c r="I1090" s="11" t="n">
        <v>213.52</v>
      </c>
      <c r="J1090" s="12" t="n">
        <v>0</v>
      </c>
      <c r="K1090" s="11" t="n">
        <v>2135.2</v>
      </c>
      <c r="L1090" s="11" t="n">
        <v>599.83</v>
      </c>
      <c r="M1090" s="12" t="n">
        <v>0.2809</v>
      </c>
    </row>
    <row r="1091">
      <c r="A1091" t="inlineStr">
        <is>
          <t>ORD-10415</t>
        </is>
      </c>
      <c r="B1091" s="10" t="inlineStr">
        <is>
          <t>2025-01-20</t>
        </is>
      </c>
      <c r="C1091" t="inlineStr">
        <is>
          <t>Customer 37</t>
        </is>
      </c>
      <c r="D1091" t="inlineStr">
        <is>
          <t>West</t>
        </is>
      </c>
      <c r="E1091" t="inlineStr">
        <is>
          <t>Furniture</t>
        </is>
      </c>
      <c r="F1091" t="inlineStr">
        <is>
          <t>Desk</t>
        </is>
      </c>
      <c r="G1091" t="inlineStr">
        <is>
          <t>Same Day</t>
        </is>
      </c>
      <c r="H1091" t="n">
        <v>9</v>
      </c>
      <c r="I1091" s="11" t="n">
        <v>1186.19</v>
      </c>
      <c r="J1091" s="12" t="n">
        <v>0.15</v>
      </c>
      <c r="K1091" s="11" t="n">
        <v>9074.35</v>
      </c>
      <c r="L1091" s="11" t="n">
        <v>1570.58</v>
      </c>
      <c r="M1091" s="12" t="n">
        <v>0.1731</v>
      </c>
    </row>
    <row r="1092">
      <c r="A1092" t="inlineStr">
        <is>
          <t>ORD-10275</t>
        </is>
      </c>
      <c r="B1092" s="10" t="inlineStr">
        <is>
          <t>2025-01-20</t>
        </is>
      </c>
      <c r="C1092" t="inlineStr">
        <is>
          <t>Customer 184</t>
        </is>
      </c>
      <c r="D1092" t="inlineStr">
        <is>
          <t>East</t>
        </is>
      </c>
      <c r="E1092" t="inlineStr">
        <is>
          <t>Technology</t>
        </is>
      </c>
      <c r="F1092" t="inlineStr">
        <is>
          <t>Monitor</t>
        </is>
      </c>
      <c r="G1092" t="inlineStr">
        <is>
          <t>Second Class</t>
        </is>
      </c>
      <c r="H1092" t="n">
        <v>5</v>
      </c>
      <c r="I1092" s="11" t="n">
        <v>900.26</v>
      </c>
      <c r="J1092" s="12" t="n">
        <v>0</v>
      </c>
      <c r="K1092" s="11" t="n">
        <v>4501.3</v>
      </c>
      <c r="L1092" s="11" t="n">
        <v>1729.68</v>
      </c>
      <c r="M1092" s="12" t="n">
        <v>0.3843</v>
      </c>
    </row>
    <row r="1093">
      <c r="A1093" t="inlineStr">
        <is>
          <t>ORD-11716</t>
        </is>
      </c>
      <c r="B1093" s="10" t="inlineStr">
        <is>
          <t>2025-01-20</t>
        </is>
      </c>
      <c r="C1093" t="inlineStr">
        <is>
          <t>Customer 174</t>
        </is>
      </c>
      <c r="D1093" t="inlineStr">
        <is>
          <t>East</t>
        </is>
      </c>
      <c r="E1093" t="inlineStr">
        <is>
          <t>Technology</t>
        </is>
      </c>
      <c r="F1093" t="inlineStr">
        <is>
          <t>Monitor</t>
        </is>
      </c>
      <c r="G1093" t="inlineStr">
        <is>
          <t>Standard Class</t>
        </is>
      </c>
      <c r="H1093" t="n">
        <v>11</v>
      </c>
      <c r="I1093" s="11" t="n">
        <v>557.7</v>
      </c>
      <c r="J1093" s="12" t="n">
        <v>0.1</v>
      </c>
      <c r="K1093" s="11" t="n">
        <v>5521.23</v>
      </c>
      <c r="L1093" s="11" t="n">
        <v>1938.37</v>
      </c>
      <c r="M1093" s="12" t="n">
        <v>0.3511</v>
      </c>
    </row>
    <row r="1094">
      <c r="A1094" t="inlineStr">
        <is>
          <t>ORD-11894</t>
        </is>
      </c>
      <c r="B1094" s="10" t="inlineStr">
        <is>
          <t>2025-01-20</t>
        </is>
      </c>
      <c r="C1094" t="inlineStr">
        <is>
          <t>Customer 28</t>
        </is>
      </c>
      <c r="D1094" t="inlineStr">
        <is>
          <t>West</t>
        </is>
      </c>
      <c r="E1094" t="inlineStr">
        <is>
          <t>Office Supplies</t>
        </is>
      </c>
      <c r="F1094" t="inlineStr">
        <is>
          <t>Stapler</t>
        </is>
      </c>
      <c r="G1094" t="inlineStr">
        <is>
          <t>First Class</t>
        </is>
      </c>
      <c r="H1094" t="n">
        <v>6</v>
      </c>
      <c r="I1094" s="11" t="n">
        <v>252.19</v>
      </c>
      <c r="J1094" s="12" t="n">
        <v>0</v>
      </c>
      <c r="K1094" s="11" t="n">
        <v>1513.14</v>
      </c>
      <c r="L1094" s="11" t="n">
        <v>443.2</v>
      </c>
      <c r="M1094" s="12" t="n">
        <v>0.2929</v>
      </c>
    </row>
    <row r="1095">
      <c r="A1095" t="inlineStr">
        <is>
          <t>ORD-10257</t>
        </is>
      </c>
      <c r="B1095" s="10" t="inlineStr">
        <is>
          <t>2025-01-20</t>
        </is>
      </c>
      <c r="C1095" t="inlineStr">
        <is>
          <t>Customer 28</t>
        </is>
      </c>
      <c r="D1095" t="inlineStr">
        <is>
          <t>West</t>
        </is>
      </c>
      <c r="E1095" t="inlineStr">
        <is>
          <t>Furniture</t>
        </is>
      </c>
      <c r="F1095" t="inlineStr">
        <is>
          <t>Desk</t>
        </is>
      </c>
      <c r="G1095" t="inlineStr">
        <is>
          <t>First Class</t>
        </is>
      </c>
      <c r="H1095" t="n">
        <v>1</v>
      </c>
      <c r="I1095" s="11" t="n">
        <v>1187.84</v>
      </c>
      <c r="J1095" s="12" t="n">
        <v>0</v>
      </c>
      <c r="K1095" s="11" t="n">
        <v>1187.84</v>
      </c>
      <c r="L1095" s="11" t="n">
        <v>538.8200000000001</v>
      </c>
      <c r="M1095" s="12" t="n">
        <v>0.4536</v>
      </c>
    </row>
    <row r="1096">
      <c r="A1096" t="inlineStr">
        <is>
          <t>ORD-11729</t>
        </is>
      </c>
      <c r="B1096" s="10" t="inlineStr">
        <is>
          <t>2025-01-21</t>
        </is>
      </c>
      <c r="C1096" t="inlineStr">
        <is>
          <t>Customer 194</t>
        </is>
      </c>
      <c r="D1096" t="inlineStr">
        <is>
          <t>South</t>
        </is>
      </c>
      <c r="E1096" t="inlineStr">
        <is>
          <t>Technology</t>
        </is>
      </c>
      <c r="F1096" t="inlineStr">
        <is>
          <t>Wireless Mouse</t>
        </is>
      </c>
      <c r="G1096" t="inlineStr">
        <is>
          <t>Standard Class</t>
        </is>
      </c>
      <c r="H1096" t="n">
        <v>6</v>
      </c>
      <c r="I1096" s="11" t="n">
        <v>131.97</v>
      </c>
      <c r="J1096" s="12" t="n">
        <v>0</v>
      </c>
      <c r="K1096" s="11" t="n">
        <v>659.85</v>
      </c>
      <c r="L1096" s="11" t="n">
        <v>273.46</v>
      </c>
      <c r="M1096" s="12" t="n">
        <v>0.4144</v>
      </c>
    </row>
    <row r="1097">
      <c r="A1097" t="inlineStr">
        <is>
          <t>ORD-11869</t>
        </is>
      </c>
      <c r="B1097" s="10" t="inlineStr">
        <is>
          <t>2025-01-21</t>
        </is>
      </c>
      <c r="C1097" t="inlineStr">
        <is>
          <t>Customer 141</t>
        </is>
      </c>
      <c r="D1097" t="inlineStr">
        <is>
          <t>West</t>
        </is>
      </c>
      <c r="E1097" t="inlineStr">
        <is>
          <t>Technology</t>
        </is>
      </c>
      <c r="F1097" t="inlineStr">
        <is>
          <t>Wireless Mouse</t>
        </is>
      </c>
      <c r="G1097" t="inlineStr">
        <is>
          <t>Second Class</t>
        </is>
      </c>
      <c r="H1097" t="n">
        <v>10</v>
      </c>
      <c r="I1097" s="11" t="n">
        <v>1033.01</v>
      </c>
      <c r="J1097" s="12" t="n">
        <v>0</v>
      </c>
      <c r="K1097" s="11" t="n">
        <v>10330.1</v>
      </c>
      <c r="L1097" s="11" t="n">
        <v>3274.87</v>
      </c>
      <c r="M1097" s="12" t="n">
        <v>0.317</v>
      </c>
    </row>
    <row r="1098">
      <c r="A1098" t="inlineStr">
        <is>
          <t>ORD-10590</t>
        </is>
      </c>
      <c r="B1098" s="10" t="inlineStr">
        <is>
          <t>2025-01-22</t>
        </is>
      </c>
      <c r="C1098" t="inlineStr">
        <is>
          <t>Customer 58</t>
        </is>
      </c>
      <c r="D1098" t="inlineStr">
        <is>
          <t>North</t>
        </is>
      </c>
      <c r="E1098" t="inlineStr">
        <is>
          <t>Furniture</t>
        </is>
      </c>
      <c r="F1098" t="inlineStr">
        <is>
          <t>Table Lamp</t>
        </is>
      </c>
      <c r="G1098" t="inlineStr">
        <is>
          <t>Second Class</t>
        </is>
      </c>
      <c r="H1098" t="n">
        <v>8</v>
      </c>
      <c r="I1098" s="11" t="n">
        <v>705.4</v>
      </c>
      <c r="J1098" s="12" t="n">
        <v>0</v>
      </c>
      <c r="K1098" s="11" t="n">
        <v>5643.2</v>
      </c>
      <c r="L1098" s="11" t="n">
        <v>2750.45</v>
      </c>
      <c r="M1098" s="12" t="n">
        <v>0.4874</v>
      </c>
    </row>
    <row r="1099">
      <c r="A1099" t="inlineStr">
        <is>
          <t>ORD-10746</t>
        </is>
      </c>
      <c r="B1099" s="10" t="inlineStr">
        <is>
          <t>2025-01-22</t>
        </is>
      </c>
      <c r="C1099" t="inlineStr">
        <is>
          <t>Customer 125</t>
        </is>
      </c>
      <c r="D1099" t="inlineStr">
        <is>
          <t>West</t>
        </is>
      </c>
      <c r="E1099" t="inlineStr">
        <is>
          <t>Technology</t>
        </is>
      </c>
      <c r="F1099" t="inlineStr">
        <is>
          <t>Wireless Mouse</t>
        </is>
      </c>
      <c r="G1099" t="inlineStr">
        <is>
          <t>First Class</t>
        </is>
      </c>
      <c r="H1099" t="n">
        <v>11</v>
      </c>
      <c r="I1099" s="11" t="n">
        <v>961.8</v>
      </c>
      <c r="J1099" s="12" t="n">
        <v>0</v>
      </c>
      <c r="K1099" s="11" t="n">
        <v>10579.8</v>
      </c>
      <c r="L1099" s="11" t="n">
        <v>2390.18</v>
      </c>
      <c r="M1099" s="12" t="n">
        <v>0.2259</v>
      </c>
    </row>
    <row r="1100">
      <c r="A1100" t="inlineStr">
        <is>
          <t>ORD-10073</t>
        </is>
      </c>
      <c r="B1100" s="10" t="inlineStr">
        <is>
          <t>2025-01-22</t>
        </is>
      </c>
      <c r="C1100" t="inlineStr">
        <is>
          <t>Customer 166</t>
        </is>
      </c>
      <c r="D1100" t="inlineStr">
        <is>
          <t>West</t>
        </is>
      </c>
      <c r="E1100" t="inlineStr">
        <is>
          <t>Technology</t>
        </is>
      </c>
      <c r="F1100" t="inlineStr">
        <is>
          <t>Printer</t>
        </is>
      </c>
      <c r="G1100" t="inlineStr">
        <is>
          <t>First Class</t>
        </is>
      </c>
      <c r="H1100" t="n">
        <v>6</v>
      </c>
      <c r="I1100" s="11" t="n">
        <v>409.46</v>
      </c>
      <c r="J1100" s="12" t="n">
        <v>0.15</v>
      </c>
      <c r="K1100" s="11" t="n">
        <v>2088.25</v>
      </c>
      <c r="L1100" s="11" t="n">
        <v>444.92</v>
      </c>
      <c r="M1100" s="12" t="n">
        <v>0.2131</v>
      </c>
    </row>
    <row r="1101">
      <c r="A1101" t="inlineStr">
        <is>
          <t>ORD-11420</t>
        </is>
      </c>
      <c r="B1101" s="10" t="inlineStr">
        <is>
          <t>2025-01-22</t>
        </is>
      </c>
      <c r="C1101" t="inlineStr">
        <is>
          <t>Customer 117</t>
        </is>
      </c>
      <c r="D1101" t="inlineStr">
        <is>
          <t>North</t>
        </is>
      </c>
      <c r="E1101" t="inlineStr">
        <is>
          <t>Office Supplies</t>
        </is>
      </c>
      <c r="F1101" t="inlineStr">
        <is>
          <t>Binder</t>
        </is>
      </c>
      <c r="G1101" t="inlineStr">
        <is>
          <t>First Class</t>
        </is>
      </c>
      <c r="H1101" t="n">
        <v>9</v>
      </c>
      <c r="I1101" s="11" t="n">
        <v>627.03</v>
      </c>
      <c r="J1101" s="12" t="n">
        <v>0</v>
      </c>
      <c r="K1101" s="11" t="n">
        <v>5643.27</v>
      </c>
      <c r="L1101" s="11" t="n">
        <v>2720.15</v>
      </c>
      <c r="M1101" s="12" t="n">
        <v>0.482</v>
      </c>
    </row>
    <row r="1102">
      <c r="A1102" t="inlineStr">
        <is>
          <t>ORD-11575</t>
        </is>
      </c>
      <c r="B1102" s="10" t="inlineStr">
        <is>
          <t>2025-01-22</t>
        </is>
      </c>
      <c r="C1102" t="inlineStr">
        <is>
          <t>Customer 39</t>
        </is>
      </c>
      <c r="D1102" t="inlineStr">
        <is>
          <t>South</t>
        </is>
      </c>
      <c r="E1102" t="inlineStr">
        <is>
          <t>Office Supplies</t>
        </is>
      </c>
      <c r="F1102" t="inlineStr">
        <is>
          <t>Stapler</t>
        </is>
      </c>
      <c r="G1102" t="inlineStr">
        <is>
          <t>First Class</t>
        </is>
      </c>
      <c r="H1102" t="n">
        <v>7</v>
      </c>
      <c r="I1102" s="11" t="n">
        <v>14.1</v>
      </c>
      <c r="J1102" s="12" t="n">
        <v>0</v>
      </c>
      <c r="K1102" s="11" t="n">
        <v>98.7</v>
      </c>
      <c r="L1102" s="11" t="n">
        <v>17.18</v>
      </c>
      <c r="M1102" s="12" t="n">
        <v>0.1741</v>
      </c>
    </row>
    <row r="1103">
      <c r="A1103" t="inlineStr">
        <is>
          <t>ORD-10847</t>
        </is>
      </c>
      <c r="B1103" s="10" t="inlineStr">
        <is>
          <t>2025-01-23</t>
        </is>
      </c>
      <c r="C1103" t="inlineStr">
        <is>
          <t>Customer 107</t>
        </is>
      </c>
      <c r="D1103" t="inlineStr">
        <is>
          <t>West</t>
        </is>
      </c>
      <c r="E1103" t="inlineStr">
        <is>
          <t>Technology</t>
        </is>
      </c>
      <c r="F1103" t="inlineStr">
        <is>
          <t>Wireless Mouse</t>
        </is>
      </c>
      <c r="G1103" t="inlineStr">
        <is>
          <t>Second Class</t>
        </is>
      </c>
      <c r="H1103" t="n">
        <v>6</v>
      </c>
      <c r="I1103" s="11" t="n">
        <v>85.43000000000001</v>
      </c>
      <c r="J1103" s="12" t="n">
        <v>0.15</v>
      </c>
      <c r="K1103" s="11" t="n">
        <v>435.69</v>
      </c>
      <c r="L1103" s="11" t="n">
        <v>16.07</v>
      </c>
      <c r="M1103" s="12" t="n">
        <v>0.0369</v>
      </c>
    </row>
    <row r="1104">
      <c r="A1104" t="inlineStr">
        <is>
          <t>ORD-11067</t>
        </is>
      </c>
      <c r="B1104" s="10" t="inlineStr">
        <is>
          <t>2025-01-23</t>
        </is>
      </c>
      <c r="C1104" t="inlineStr">
        <is>
          <t>Customer 57</t>
        </is>
      </c>
      <c r="D1104" t="inlineStr">
        <is>
          <t>East</t>
        </is>
      </c>
      <c r="E1104" t="inlineStr">
        <is>
          <t>Office Supplies</t>
        </is>
      </c>
      <c r="F1104" t="inlineStr">
        <is>
          <t>Pens (Box)</t>
        </is>
      </c>
      <c r="G1104" t="inlineStr">
        <is>
          <t>First Class</t>
        </is>
      </c>
      <c r="H1104" t="n">
        <v>1</v>
      </c>
      <c r="I1104" s="11" t="n">
        <v>278.58</v>
      </c>
      <c r="J1104" s="12" t="n">
        <v>0</v>
      </c>
      <c r="K1104" s="11" t="n">
        <v>278.58</v>
      </c>
      <c r="L1104" s="11" t="n">
        <v>127.21</v>
      </c>
      <c r="M1104" s="12" t="n">
        <v>0.4566</v>
      </c>
    </row>
    <row r="1105">
      <c r="A1105" t="inlineStr">
        <is>
          <t>ORD-11197</t>
        </is>
      </c>
      <c r="B1105" s="10" t="inlineStr">
        <is>
          <t>2025-01-23</t>
        </is>
      </c>
      <c r="C1105" t="inlineStr">
        <is>
          <t>Customer 198</t>
        </is>
      </c>
      <c r="D1105" t="inlineStr">
        <is>
          <t>North</t>
        </is>
      </c>
      <c r="E1105" t="inlineStr">
        <is>
          <t>Technology</t>
        </is>
      </c>
      <c r="F1105" t="inlineStr">
        <is>
          <t>Wireless Mouse</t>
        </is>
      </c>
      <c r="G1105" t="inlineStr">
        <is>
          <t>Standard Class</t>
        </is>
      </c>
      <c r="H1105" t="n">
        <v>2</v>
      </c>
      <c r="I1105" s="11" t="n">
        <v>779.62</v>
      </c>
      <c r="J1105" s="12" t="n">
        <v>0.1</v>
      </c>
      <c r="K1105" s="11" t="n">
        <v>1403.32</v>
      </c>
      <c r="L1105" s="11" t="n">
        <v>94.06</v>
      </c>
      <c r="M1105" s="12" t="n">
        <v>0.067</v>
      </c>
    </row>
    <row r="1106">
      <c r="A1106" t="inlineStr">
        <is>
          <t>ORD-11501</t>
        </is>
      </c>
      <c r="B1106" s="10" t="inlineStr">
        <is>
          <t>2025-01-23</t>
        </is>
      </c>
      <c r="C1106" t="inlineStr">
        <is>
          <t>Customer 102</t>
        </is>
      </c>
      <c r="D1106" t="inlineStr">
        <is>
          <t>North</t>
        </is>
      </c>
      <c r="E1106" t="inlineStr">
        <is>
          <t>Furniture</t>
        </is>
      </c>
      <c r="F1106" t="inlineStr">
        <is>
          <t>Desk</t>
        </is>
      </c>
      <c r="G1106" t="inlineStr">
        <is>
          <t>Same Day</t>
        </is>
      </c>
      <c r="H1106" t="n">
        <v>8</v>
      </c>
      <c r="I1106" s="11" t="n">
        <v>435.67</v>
      </c>
      <c r="J1106" s="12" t="n">
        <v>0</v>
      </c>
      <c r="K1106" s="11" t="n">
        <v>3485.36</v>
      </c>
      <c r="L1106" s="11" t="n">
        <v>1613.66</v>
      </c>
      <c r="M1106" s="12" t="n">
        <v>0.463</v>
      </c>
    </row>
    <row r="1107">
      <c r="A1107" t="inlineStr">
        <is>
          <t>ORD-10676</t>
        </is>
      </c>
      <c r="B1107" s="10" t="inlineStr">
        <is>
          <t>2025-01-24</t>
        </is>
      </c>
      <c r="C1107" t="inlineStr">
        <is>
          <t>Customer 159</t>
        </is>
      </c>
      <c r="D1107" t="inlineStr">
        <is>
          <t>East</t>
        </is>
      </c>
      <c r="E1107" t="inlineStr">
        <is>
          <t>Office Supplies</t>
        </is>
      </c>
      <c r="F1107" t="inlineStr">
        <is>
          <t>Binder</t>
        </is>
      </c>
      <c r="G1107" t="inlineStr">
        <is>
          <t>Standard Class</t>
        </is>
      </c>
      <c r="H1107" t="n">
        <v>9</v>
      </c>
      <c r="I1107" s="11" t="n">
        <v>632.28</v>
      </c>
      <c r="J1107" s="12" t="n">
        <v>0</v>
      </c>
      <c r="K1107" s="11" t="n">
        <v>4836.94</v>
      </c>
      <c r="L1107" s="11" t="n">
        <v>7.71</v>
      </c>
      <c r="M1107" s="12" t="n">
        <v>0.0016</v>
      </c>
    </row>
    <row r="1108">
      <c r="A1108" t="inlineStr">
        <is>
          <t>ORD-11323</t>
        </is>
      </c>
      <c r="B1108" s="10" t="inlineStr">
        <is>
          <t>2025-01-24</t>
        </is>
      </c>
      <c r="C1108" t="inlineStr">
        <is>
          <t>Customer 99</t>
        </is>
      </c>
      <c r="D1108" t="inlineStr">
        <is>
          <t>East</t>
        </is>
      </c>
      <c r="E1108" t="inlineStr">
        <is>
          <t>Furniture</t>
        </is>
      </c>
      <c r="F1108" t="inlineStr">
        <is>
          <t>Chair</t>
        </is>
      </c>
      <c r="G1108" t="inlineStr">
        <is>
          <t>Standard Class</t>
        </is>
      </c>
      <c r="H1108" t="n">
        <v>9</v>
      </c>
      <c r="I1108" s="11" t="n">
        <v>590.2</v>
      </c>
      <c r="J1108" s="12" t="n">
        <v>0</v>
      </c>
      <c r="K1108" s="11" t="n">
        <v>5311.8</v>
      </c>
      <c r="L1108" s="11" t="n">
        <v>1989.39</v>
      </c>
      <c r="M1108" s="12" t="n">
        <v>0.3745</v>
      </c>
    </row>
    <row r="1109">
      <c r="A1109" t="inlineStr">
        <is>
          <t>ORD-10131</t>
        </is>
      </c>
      <c r="B1109" s="10" t="inlineStr">
        <is>
          <t>2025-01-25</t>
        </is>
      </c>
      <c r="C1109" t="inlineStr">
        <is>
          <t>Customer 14</t>
        </is>
      </c>
      <c r="D1109" t="inlineStr">
        <is>
          <t>West</t>
        </is>
      </c>
      <c r="E1109" t="inlineStr">
        <is>
          <t>Furniture</t>
        </is>
      </c>
      <c r="F1109" t="inlineStr">
        <is>
          <t>Table Lamp</t>
        </is>
      </c>
      <c r="G1109" t="inlineStr">
        <is>
          <t>First Class</t>
        </is>
      </c>
      <c r="H1109" t="n">
        <v>8</v>
      </c>
      <c r="I1109" s="11" t="n">
        <v>1022.34</v>
      </c>
      <c r="J1109" s="12" t="n">
        <v>0.15</v>
      </c>
      <c r="K1109" s="11" t="n">
        <v>6951.91</v>
      </c>
      <c r="L1109" s="11" t="n">
        <v>1891.22</v>
      </c>
      <c r="M1109" s="12" t="n">
        <v>0.272</v>
      </c>
    </row>
    <row r="1110">
      <c r="A1110" t="inlineStr">
        <is>
          <t>ORD-10198</t>
        </is>
      </c>
      <c r="B1110" s="10" t="inlineStr">
        <is>
          <t>2025-01-25</t>
        </is>
      </c>
      <c r="C1110" t="inlineStr">
        <is>
          <t>Customer 77</t>
        </is>
      </c>
      <c r="D1110" t="inlineStr">
        <is>
          <t>South</t>
        </is>
      </c>
      <c r="E1110" t="inlineStr">
        <is>
          <t>Technology</t>
        </is>
      </c>
      <c r="F1110" t="inlineStr">
        <is>
          <t>Laptop</t>
        </is>
      </c>
      <c r="G1110" t="inlineStr">
        <is>
          <t>First Class</t>
        </is>
      </c>
      <c r="H1110" t="n">
        <v>3</v>
      </c>
      <c r="I1110" s="11" t="n">
        <v>1192.28</v>
      </c>
      <c r="J1110" s="12" t="n">
        <v>0.3</v>
      </c>
      <c r="K1110" s="11" t="n">
        <v>2503.79</v>
      </c>
      <c r="L1110" s="11" t="n">
        <v>664.79</v>
      </c>
      <c r="M1110" s="12" t="n">
        <v>0.2655</v>
      </c>
    </row>
    <row r="1111">
      <c r="A1111" t="inlineStr">
        <is>
          <t>ORD-11131</t>
        </is>
      </c>
      <c r="B1111" s="10" t="inlineStr">
        <is>
          <t>2025-01-26</t>
        </is>
      </c>
      <c r="C1111" t="inlineStr">
        <is>
          <t>Customer 7</t>
        </is>
      </c>
      <c r="D1111" t="inlineStr">
        <is>
          <t>North</t>
        </is>
      </c>
      <c r="E1111" t="inlineStr">
        <is>
          <t>Technology</t>
        </is>
      </c>
      <c r="F1111" t="inlineStr">
        <is>
          <t>Wireless Mouse</t>
        </is>
      </c>
      <c r="G1111" t="inlineStr">
        <is>
          <t>First Class</t>
        </is>
      </c>
      <c r="H1111" t="n">
        <v>8</v>
      </c>
      <c r="I1111" s="11" t="n">
        <v>446.46</v>
      </c>
      <c r="J1111" s="12" t="n">
        <v>0</v>
      </c>
      <c r="K1111" s="11" t="n">
        <v>3571.68</v>
      </c>
      <c r="L1111" s="11" t="n">
        <v>1174.36</v>
      </c>
      <c r="M1111" s="12" t="n">
        <v>0.3288</v>
      </c>
    </row>
    <row r="1112">
      <c r="A1112" t="inlineStr">
        <is>
          <t>ORD-11862</t>
        </is>
      </c>
      <c r="B1112" s="10" t="inlineStr">
        <is>
          <t>2025-01-26</t>
        </is>
      </c>
      <c r="C1112" t="inlineStr">
        <is>
          <t>Customer 54</t>
        </is>
      </c>
      <c r="D1112" t="inlineStr">
        <is>
          <t>South</t>
        </is>
      </c>
      <c r="E1112" t="inlineStr">
        <is>
          <t>Office Supplies</t>
        </is>
      </c>
      <c r="F1112" t="inlineStr">
        <is>
          <t>Binder</t>
        </is>
      </c>
      <c r="G1112" t="inlineStr">
        <is>
          <t>First Class</t>
        </is>
      </c>
      <c r="H1112" t="n">
        <v>7</v>
      </c>
      <c r="I1112" s="11" t="n">
        <v>910.92</v>
      </c>
      <c r="J1112" s="12" t="n">
        <v>0.15</v>
      </c>
      <c r="K1112" s="11" t="n">
        <v>5419.97</v>
      </c>
      <c r="L1112" s="11" t="n">
        <v>554.77</v>
      </c>
      <c r="M1112" s="12" t="n">
        <v>0.1024</v>
      </c>
    </row>
    <row r="1113">
      <c r="A1113" t="inlineStr">
        <is>
          <t>ORD-12000</t>
        </is>
      </c>
      <c r="B1113" s="10" t="inlineStr">
        <is>
          <t>2025-01-26</t>
        </is>
      </c>
      <c r="C1113" t="inlineStr">
        <is>
          <t>Customer 53</t>
        </is>
      </c>
      <c r="D1113" t="inlineStr">
        <is>
          <t>South</t>
        </is>
      </c>
      <c r="E1113" t="inlineStr">
        <is>
          <t>Technology</t>
        </is>
      </c>
      <c r="F1113" t="inlineStr">
        <is>
          <t>Monitor</t>
        </is>
      </c>
      <c r="G1113" t="inlineStr">
        <is>
          <t>Second Class</t>
        </is>
      </c>
      <c r="H1113" t="n">
        <v>6</v>
      </c>
      <c r="I1113" s="11" t="n">
        <v>74.09</v>
      </c>
      <c r="J1113" s="12" t="n">
        <v>0</v>
      </c>
      <c r="K1113" s="11" t="n">
        <v>444.54</v>
      </c>
      <c r="L1113" s="11" t="n">
        <v>100.64</v>
      </c>
      <c r="M1113" s="12" t="n">
        <v>0.2264</v>
      </c>
    </row>
    <row r="1114">
      <c r="A1114" t="inlineStr">
        <is>
          <t>ORD-11255</t>
        </is>
      </c>
      <c r="B1114" s="10" t="inlineStr">
        <is>
          <t>2025-01-26</t>
        </is>
      </c>
      <c r="C1114" t="inlineStr">
        <is>
          <t>Customer 12</t>
        </is>
      </c>
      <c r="D1114" t="inlineStr">
        <is>
          <t>West</t>
        </is>
      </c>
      <c r="E1114" t="inlineStr">
        <is>
          <t>Furniture</t>
        </is>
      </c>
      <c r="F1114" t="inlineStr">
        <is>
          <t>Table Lamp</t>
        </is>
      </c>
      <c r="G1114" t="inlineStr">
        <is>
          <t>First Class</t>
        </is>
      </c>
      <c r="H1114" t="n">
        <v>9</v>
      </c>
      <c r="I1114" s="11" t="n">
        <v>1000.87</v>
      </c>
      <c r="J1114" s="12" t="n">
        <v>0.1</v>
      </c>
      <c r="K1114" s="11" t="n">
        <v>8107.05</v>
      </c>
      <c r="L1114" s="11" t="n">
        <v>2971.03</v>
      </c>
      <c r="M1114" s="12" t="n">
        <v>0.3665</v>
      </c>
    </row>
    <row r="1115">
      <c r="A1115" t="inlineStr">
        <is>
          <t>ORD-10674</t>
        </is>
      </c>
      <c r="B1115" s="10" t="inlineStr">
        <is>
          <t>2025-01-26</t>
        </is>
      </c>
      <c r="C1115" t="inlineStr">
        <is>
          <t>Customer 75</t>
        </is>
      </c>
      <c r="D1115" t="inlineStr">
        <is>
          <t>East</t>
        </is>
      </c>
      <c r="E1115" t="inlineStr">
        <is>
          <t>Furniture</t>
        </is>
      </c>
      <c r="F1115" t="inlineStr">
        <is>
          <t>Bookcase</t>
        </is>
      </c>
      <c r="G1115" t="inlineStr">
        <is>
          <t>Second Class</t>
        </is>
      </c>
      <c r="H1115" t="n">
        <v>5</v>
      </c>
      <c r="I1115" s="11" t="n">
        <v>289.21</v>
      </c>
      <c r="J1115" s="12" t="n">
        <v>0.15</v>
      </c>
      <c r="K1115" s="11" t="n">
        <v>1229.14</v>
      </c>
      <c r="L1115" s="11" t="n">
        <v>15.11</v>
      </c>
      <c r="M1115" s="12" t="n">
        <v>0.0123</v>
      </c>
    </row>
    <row r="1116">
      <c r="A1116" t="inlineStr">
        <is>
          <t>ORD-11107</t>
        </is>
      </c>
      <c r="B1116" s="10" t="inlineStr">
        <is>
          <t>2025-01-26</t>
        </is>
      </c>
      <c r="C1116" t="inlineStr">
        <is>
          <t>Customer 20</t>
        </is>
      </c>
      <c r="D1116" t="inlineStr">
        <is>
          <t>South</t>
        </is>
      </c>
      <c r="E1116" t="inlineStr">
        <is>
          <t>Furniture</t>
        </is>
      </c>
      <c r="F1116" t="inlineStr">
        <is>
          <t>Chair</t>
        </is>
      </c>
      <c r="G1116" t="inlineStr">
        <is>
          <t>First Class</t>
        </is>
      </c>
      <c r="H1116" t="n">
        <v>5</v>
      </c>
      <c r="I1116" s="11" t="n">
        <v>324.17</v>
      </c>
      <c r="J1116" s="12" t="n">
        <v>0.15</v>
      </c>
      <c r="K1116" s="11" t="n">
        <v>1377.72</v>
      </c>
      <c r="L1116" s="11" t="n">
        <v>485.35</v>
      </c>
      <c r="M1116" s="12" t="n">
        <v>0.3523</v>
      </c>
    </row>
    <row r="1117">
      <c r="A1117" t="inlineStr">
        <is>
          <t>ORD-10624</t>
        </is>
      </c>
      <c r="B1117" s="10" t="inlineStr">
        <is>
          <t>2025-01-27</t>
        </is>
      </c>
      <c r="C1117" t="inlineStr">
        <is>
          <t>Customer 43</t>
        </is>
      </c>
      <c r="D1117" t="inlineStr">
        <is>
          <t>East</t>
        </is>
      </c>
      <c r="E1117" t="inlineStr">
        <is>
          <t>Office Supplies</t>
        </is>
      </c>
      <c r="F1117" t="inlineStr">
        <is>
          <t>Paper</t>
        </is>
      </c>
      <c r="G1117" t="inlineStr">
        <is>
          <t>Standard Class</t>
        </is>
      </c>
      <c r="H1117" t="n">
        <v>6</v>
      </c>
      <c r="I1117" s="11" t="n">
        <v>528.4400000000001</v>
      </c>
      <c r="J1117" s="12" t="n">
        <v>0</v>
      </c>
      <c r="K1117" s="11" t="n">
        <v>3170.64</v>
      </c>
      <c r="L1117" s="11" t="n">
        <v>940.71</v>
      </c>
      <c r="M1117" s="12" t="n">
        <v>0.2967</v>
      </c>
    </row>
    <row r="1118">
      <c r="A1118" t="inlineStr">
        <is>
          <t>ORD-10208</t>
        </is>
      </c>
      <c r="B1118" s="10" t="inlineStr">
        <is>
          <t>2025-01-27</t>
        </is>
      </c>
      <c r="C1118" t="inlineStr">
        <is>
          <t>Customer 148</t>
        </is>
      </c>
      <c r="D1118" t="inlineStr">
        <is>
          <t>North</t>
        </is>
      </c>
      <c r="E1118" t="inlineStr">
        <is>
          <t>Technology</t>
        </is>
      </c>
      <c r="F1118" t="inlineStr">
        <is>
          <t>Wireless Mouse</t>
        </is>
      </c>
      <c r="G1118" t="inlineStr">
        <is>
          <t>First Class</t>
        </is>
      </c>
      <c r="H1118" t="n">
        <v>3</v>
      </c>
      <c r="I1118" s="11" t="n">
        <v>753.0599999999999</v>
      </c>
      <c r="J1118" s="12" t="n">
        <v>0</v>
      </c>
      <c r="K1118" s="11" t="n">
        <v>2259.18</v>
      </c>
      <c r="L1118" s="11" t="n">
        <v>496.56</v>
      </c>
      <c r="M1118" s="12" t="n">
        <v>0.2198</v>
      </c>
    </row>
    <row r="1119">
      <c r="A1119" t="inlineStr">
        <is>
          <t>ORD-11093</t>
        </is>
      </c>
      <c r="B1119" s="10" t="inlineStr">
        <is>
          <t>2025-01-28</t>
        </is>
      </c>
      <c r="C1119" t="inlineStr">
        <is>
          <t>Customer 139</t>
        </is>
      </c>
      <c r="D1119" t="inlineStr">
        <is>
          <t>South</t>
        </is>
      </c>
      <c r="E1119" t="inlineStr">
        <is>
          <t>Office Supplies</t>
        </is>
      </c>
      <c r="F1119" t="inlineStr">
        <is>
          <t>Pens (Box)</t>
        </is>
      </c>
      <c r="G1119" t="inlineStr">
        <is>
          <t>Same Day</t>
        </is>
      </c>
      <c r="H1119" t="n">
        <v>8</v>
      </c>
      <c r="I1119" s="11" t="n">
        <v>452.29</v>
      </c>
      <c r="J1119" s="12" t="n">
        <v>0</v>
      </c>
      <c r="K1119" s="11" t="n">
        <v>3618.32</v>
      </c>
      <c r="L1119" s="11" t="n">
        <v>1802.02</v>
      </c>
      <c r="M1119" s="12" t="n">
        <v>0.498</v>
      </c>
    </row>
    <row r="1120">
      <c r="A1120" t="inlineStr">
        <is>
          <t>ORD-10614</t>
        </is>
      </c>
      <c r="B1120" s="10" t="inlineStr">
        <is>
          <t>2025-01-28</t>
        </is>
      </c>
      <c r="C1120" t="inlineStr">
        <is>
          <t>Customer 169</t>
        </is>
      </c>
      <c r="D1120" t="inlineStr">
        <is>
          <t>South</t>
        </is>
      </c>
      <c r="E1120" t="inlineStr">
        <is>
          <t>Office Supplies</t>
        </is>
      </c>
      <c r="F1120" t="inlineStr">
        <is>
          <t>Pens (Box)</t>
        </is>
      </c>
      <c r="G1120" t="inlineStr">
        <is>
          <t>Standard Class</t>
        </is>
      </c>
      <c r="H1120" t="n">
        <v>6</v>
      </c>
      <c r="I1120" s="11" t="n">
        <v>598.415</v>
      </c>
      <c r="J1120" s="12" t="n">
        <v>0</v>
      </c>
      <c r="K1120" s="11" t="n">
        <v>2969.36</v>
      </c>
      <c r="L1120" s="11" t="n">
        <v>658.67</v>
      </c>
      <c r="M1120" s="12" t="n">
        <v>0.2218</v>
      </c>
    </row>
    <row r="1121">
      <c r="A1121" t="inlineStr">
        <is>
          <t>ORD-11427</t>
        </is>
      </c>
      <c r="B1121" s="10" t="inlineStr">
        <is>
          <t>2025-01-29</t>
        </is>
      </c>
      <c r="C1121" t="inlineStr">
        <is>
          <t>Customer 38</t>
        </is>
      </c>
      <c r="D1121" t="inlineStr">
        <is>
          <t>West</t>
        </is>
      </c>
      <c r="E1121" t="inlineStr">
        <is>
          <t>Office Supplies</t>
        </is>
      </c>
      <c r="F1121" t="inlineStr">
        <is>
          <t>Paper</t>
        </is>
      </c>
      <c r="G1121" t="inlineStr">
        <is>
          <t>Same Day</t>
        </is>
      </c>
      <c r="H1121" t="n">
        <v>10</v>
      </c>
      <c r="I1121" s="11" t="n">
        <v>105.59</v>
      </c>
      <c r="J1121" s="12" t="n">
        <v>0.1</v>
      </c>
      <c r="K1121" s="11" t="n">
        <v>950.3099999999999</v>
      </c>
      <c r="L1121" s="11" t="n">
        <v>64.37</v>
      </c>
      <c r="M1121" s="12" t="n">
        <v>0.0677</v>
      </c>
    </row>
    <row r="1122">
      <c r="A1122" t="inlineStr">
        <is>
          <t>ORD-10799</t>
        </is>
      </c>
      <c r="B1122" s="10" t="inlineStr">
        <is>
          <t>2025-01-30</t>
        </is>
      </c>
      <c r="C1122" t="inlineStr">
        <is>
          <t>Customer 115</t>
        </is>
      </c>
      <c r="D1122" t="inlineStr">
        <is>
          <t>East</t>
        </is>
      </c>
      <c r="E1122" t="inlineStr">
        <is>
          <t>Technology</t>
        </is>
      </c>
      <c r="F1122" t="inlineStr">
        <is>
          <t>Wireless Mouse</t>
        </is>
      </c>
      <c r="G1122" t="inlineStr">
        <is>
          <t>Second Class</t>
        </is>
      </c>
      <c r="H1122" t="n">
        <v>4</v>
      </c>
      <c r="I1122" s="11" t="n">
        <v>732.1</v>
      </c>
      <c r="J1122" s="12" t="n">
        <v>0</v>
      </c>
      <c r="K1122" s="11" t="n">
        <v>2928.4</v>
      </c>
      <c r="L1122" s="11" t="n">
        <v>1004.66</v>
      </c>
      <c r="M1122" s="12" t="n">
        <v>0.3431</v>
      </c>
    </row>
    <row r="1123">
      <c r="A1123" t="inlineStr">
        <is>
          <t>ORD-11384</t>
        </is>
      </c>
      <c r="B1123" s="10" t="inlineStr">
        <is>
          <t>2025-01-30</t>
        </is>
      </c>
      <c r="C1123" t="inlineStr">
        <is>
          <t>Customer 134</t>
        </is>
      </c>
      <c r="D1123" t="inlineStr">
        <is>
          <t>East</t>
        </is>
      </c>
      <c r="E1123" t="inlineStr">
        <is>
          <t>Office Supplies</t>
        </is>
      </c>
      <c r="F1123" t="inlineStr">
        <is>
          <t>Stapler</t>
        </is>
      </c>
      <c r="G1123" t="inlineStr">
        <is>
          <t>First Class</t>
        </is>
      </c>
      <c r="H1123" t="n">
        <v>1</v>
      </c>
      <c r="I1123" s="11" t="n">
        <v>162.16</v>
      </c>
      <c r="J1123" s="12" t="n">
        <v>0</v>
      </c>
      <c r="K1123" s="11" t="n">
        <v>162.16</v>
      </c>
      <c r="L1123" s="11" t="n">
        <v>68.45</v>
      </c>
      <c r="M1123" s="12" t="n">
        <v>0.4221</v>
      </c>
    </row>
    <row r="1124">
      <c r="A1124" t="inlineStr">
        <is>
          <t>ORD-10007</t>
        </is>
      </c>
      <c r="B1124" s="10" t="inlineStr">
        <is>
          <t>2025-01-30</t>
        </is>
      </c>
      <c r="C1124" t="inlineStr">
        <is>
          <t>Customer 33</t>
        </is>
      </c>
      <c r="D1124" t="inlineStr">
        <is>
          <t>North</t>
        </is>
      </c>
      <c r="E1124" t="inlineStr">
        <is>
          <t>Furniture</t>
        </is>
      </c>
      <c r="F1124" t="inlineStr">
        <is>
          <t>Desk</t>
        </is>
      </c>
      <c r="G1124" t="inlineStr">
        <is>
          <t>Same Day</t>
        </is>
      </c>
      <c r="H1124" t="n">
        <v>6</v>
      </c>
      <c r="I1124" s="11" t="n">
        <v>591.39</v>
      </c>
      <c r="J1124" s="12" t="n">
        <v>0.2</v>
      </c>
      <c r="K1124" s="11" t="n">
        <v>2838.67</v>
      </c>
      <c r="L1124" s="11" t="n">
        <v>354.46</v>
      </c>
      <c r="M1124" s="12" t="n">
        <v>0.1249</v>
      </c>
    </row>
    <row r="1125">
      <c r="A1125" t="inlineStr">
        <is>
          <t>ORD-11718</t>
        </is>
      </c>
      <c r="B1125" s="10" t="inlineStr">
        <is>
          <t>2025-01-31</t>
        </is>
      </c>
      <c r="C1125" t="inlineStr">
        <is>
          <t>Customer 31</t>
        </is>
      </c>
      <c r="D1125" t="inlineStr">
        <is>
          <t>South</t>
        </is>
      </c>
      <c r="E1125" t="inlineStr">
        <is>
          <t>Office Supplies</t>
        </is>
      </c>
      <c r="F1125" t="inlineStr">
        <is>
          <t>Pens (Box)</t>
        </is>
      </c>
      <c r="G1125" t="inlineStr">
        <is>
          <t>First Class</t>
        </is>
      </c>
      <c r="H1125" t="n">
        <v>6</v>
      </c>
      <c r="I1125" s="11" t="n">
        <v>347.77</v>
      </c>
      <c r="J1125" s="12" t="n">
        <v>0</v>
      </c>
      <c r="K1125" s="11" t="n">
        <v>2086.62</v>
      </c>
      <c r="L1125" s="11" t="n">
        <v>943.5</v>
      </c>
      <c r="M1125" s="12" t="n">
        <v>0.4522</v>
      </c>
    </row>
    <row r="1126">
      <c r="A1126" t="inlineStr">
        <is>
          <t>ORD-11094</t>
        </is>
      </c>
      <c r="B1126" s="10" t="inlineStr">
        <is>
          <t>2025-01-31</t>
        </is>
      </c>
      <c r="C1126" t="inlineStr">
        <is>
          <t>Customer 38</t>
        </is>
      </c>
      <c r="D1126" t="inlineStr">
        <is>
          <t>West</t>
        </is>
      </c>
      <c r="E1126" t="inlineStr">
        <is>
          <t>Office Supplies</t>
        </is>
      </c>
      <c r="F1126" t="inlineStr">
        <is>
          <t>Binder</t>
        </is>
      </c>
      <c r="G1126" t="inlineStr">
        <is>
          <t>First Class</t>
        </is>
      </c>
      <c r="H1126" t="n">
        <v>7</v>
      </c>
      <c r="I1126" s="11" t="n">
        <v>53.43</v>
      </c>
      <c r="J1126" s="12" t="n">
        <v>0</v>
      </c>
      <c r="K1126" s="11" t="n">
        <v>374.01</v>
      </c>
      <c r="L1126" s="11" t="n">
        <v>105.41</v>
      </c>
      <c r="M1126" s="12" t="n">
        <v>0.2818</v>
      </c>
    </row>
    <row r="1127">
      <c r="A1127" t="inlineStr">
        <is>
          <t>ORD-11764</t>
        </is>
      </c>
      <c r="B1127" s="10" t="inlineStr">
        <is>
          <t>2025-02-01</t>
        </is>
      </c>
      <c r="C1127" t="inlineStr">
        <is>
          <t>Customer 13</t>
        </is>
      </c>
      <c r="D1127" t="inlineStr">
        <is>
          <t>East</t>
        </is>
      </c>
      <c r="E1127" t="inlineStr">
        <is>
          <t>Furniture</t>
        </is>
      </c>
      <c r="F1127" t="inlineStr">
        <is>
          <t>Table Lamp</t>
        </is>
      </c>
      <c r="G1127" t="inlineStr">
        <is>
          <t>Second Class</t>
        </is>
      </c>
      <c r="H1127" t="n">
        <v>10</v>
      </c>
      <c r="I1127" s="11" t="n">
        <v>532.5599999999999</v>
      </c>
      <c r="J1127" s="12" t="n">
        <v>0</v>
      </c>
      <c r="K1127" s="11" t="n">
        <v>5325.6</v>
      </c>
      <c r="L1127" s="11" t="n">
        <v>2376.89</v>
      </c>
      <c r="M1127" s="12" t="n">
        <v>0.4463</v>
      </c>
    </row>
    <row r="1128">
      <c r="A1128" t="inlineStr">
        <is>
          <t>ORD-10588</t>
        </is>
      </c>
      <c r="B1128" s="10" t="inlineStr">
        <is>
          <t>2025-02-01</t>
        </is>
      </c>
      <c r="C1128" t="inlineStr">
        <is>
          <t>Customer 157</t>
        </is>
      </c>
      <c r="D1128" t="inlineStr">
        <is>
          <t>North</t>
        </is>
      </c>
      <c r="E1128" t="inlineStr">
        <is>
          <t>Technology</t>
        </is>
      </c>
      <c r="F1128" t="inlineStr">
        <is>
          <t>Printer</t>
        </is>
      </c>
      <c r="G1128" t="inlineStr">
        <is>
          <t>Same Day</t>
        </is>
      </c>
      <c r="H1128" t="n">
        <v>11</v>
      </c>
      <c r="I1128" s="11" t="n">
        <v>794.25</v>
      </c>
      <c r="J1128" s="12" t="n">
        <v>0</v>
      </c>
      <c r="K1128" s="11" t="n">
        <v>8736.75</v>
      </c>
      <c r="L1128" s="11" t="n">
        <v>3702.26</v>
      </c>
      <c r="M1128" s="12" t="n">
        <v>0.4238</v>
      </c>
    </row>
    <row r="1129">
      <c r="A1129" t="inlineStr">
        <is>
          <t>ORD-10165</t>
        </is>
      </c>
      <c r="B1129" s="10" t="inlineStr">
        <is>
          <t>2025-02-02</t>
        </is>
      </c>
      <c r="C1129" t="inlineStr">
        <is>
          <t>Customer 123</t>
        </is>
      </c>
      <c r="D1129" t="inlineStr">
        <is>
          <t>East</t>
        </is>
      </c>
      <c r="E1129" t="inlineStr">
        <is>
          <t>Office Supplies</t>
        </is>
      </c>
      <c r="F1129" t="inlineStr">
        <is>
          <t>Stapler</t>
        </is>
      </c>
      <c r="G1129" t="inlineStr">
        <is>
          <t>First Class</t>
        </is>
      </c>
      <c r="H1129" t="n">
        <v>6</v>
      </c>
      <c r="I1129" s="11" t="n">
        <v>983.9400000000001</v>
      </c>
      <c r="J1129" s="12" t="n">
        <v>0</v>
      </c>
      <c r="K1129" s="11" t="n">
        <v>5903.64</v>
      </c>
      <c r="L1129" s="11" t="n">
        <v>2136.71</v>
      </c>
      <c r="M1129" s="12" t="n">
        <v>0.3619</v>
      </c>
    </row>
    <row r="1130">
      <c r="A1130" t="inlineStr">
        <is>
          <t>ORD-11622</t>
        </is>
      </c>
      <c r="B1130" s="10" t="inlineStr">
        <is>
          <t>2025-02-03</t>
        </is>
      </c>
      <c r="C1130" t="inlineStr">
        <is>
          <t>Customer 137</t>
        </is>
      </c>
      <c r="D1130" t="inlineStr">
        <is>
          <t>East</t>
        </is>
      </c>
      <c r="E1130" t="inlineStr">
        <is>
          <t>Furniture</t>
        </is>
      </c>
      <c r="F1130" t="inlineStr">
        <is>
          <t>Table Lamp</t>
        </is>
      </c>
      <c r="G1130" t="inlineStr">
        <is>
          <t>Same Day</t>
        </is>
      </c>
      <c r="H1130" t="n">
        <v>10</v>
      </c>
      <c r="I1130" s="11" t="n">
        <v>374.72</v>
      </c>
      <c r="J1130" s="12" t="n">
        <v>0.1</v>
      </c>
      <c r="K1130" s="11" t="n">
        <v>3372.48</v>
      </c>
      <c r="L1130" s="11" t="n">
        <v>405.89</v>
      </c>
      <c r="M1130" s="12" t="n">
        <v>0.1204</v>
      </c>
    </row>
    <row r="1131">
      <c r="A1131" t="inlineStr">
        <is>
          <t>ORD-11435</t>
        </is>
      </c>
      <c r="B1131" s="10" t="inlineStr">
        <is>
          <t>2025-02-03</t>
        </is>
      </c>
      <c r="C1131" t="inlineStr">
        <is>
          <t>Customer 180</t>
        </is>
      </c>
      <c r="D1131" t="inlineStr">
        <is>
          <t>East</t>
        </is>
      </c>
      <c r="E1131" t="inlineStr">
        <is>
          <t>Furniture</t>
        </is>
      </c>
      <c r="F1131" t="inlineStr">
        <is>
          <t>Desk</t>
        </is>
      </c>
      <c r="G1131" t="inlineStr">
        <is>
          <t>Standard Class</t>
        </is>
      </c>
      <c r="H1131" t="n">
        <v>7</v>
      </c>
      <c r="I1131" s="11" t="n">
        <v>247.92</v>
      </c>
      <c r="J1131" s="12" t="n">
        <v>0</v>
      </c>
      <c r="K1131" s="11" t="n">
        <v>1735.44</v>
      </c>
      <c r="L1131" s="11" t="n">
        <v>393.08</v>
      </c>
      <c r="M1131" s="12" t="n">
        <v>0.2265</v>
      </c>
    </row>
    <row r="1132">
      <c r="A1132" t="inlineStr">
        <is>
          <t>ORD-10661</t>
        </is>
      </c>
      <c r="B1132" s="10" t="inlineStr">
        <is>
          <t>2025-02-03</t>
        </is>
      </c>
      <c r="C1132" t="inlineStr">
        <is>
          <t>Customer 173</t>
        </is>
      </c>
      <c r="D1132" t="inlineStr">
        <is>
          <t>West</t>
        </is>
      </c>
      <c r="E1132" t="inlineStr">
        <is>
          <t>Furniture</t>
        </is>
      </c>
      <c r="F1132" t="inlineStr">
        <is>
          <t>Chair</t>
        </is>
      </c>
      <c r="G1132" t="inlineStr">
        <is>
          <t>First Class</t>
        </is>
      </c>
      <c r="H1132" t="n">
        <v>9</v>
      </c>
      <c r="I1132" s="11" t="n">
        <v>625.12</v>
      </c>
      <c r="J1132" s="12" t="n">
        <v>0.1</v>
      </c>
      <c r="K1132" s="11" t="n">
        <v>5063.47</v>
      </c>
      <c r="L1132" s="11" t="n">
        <v>1542.85</v>
      </c>
      <c r="M1132" s="12" t="n">
        <v>0.3047</v>
      </c>
    </row>
    <row r="1133">
      <c r="A1133" t="inlineStr">
        <is>
          <t>ORD-11028</t>
        </is>
      </c>
      <c r="B1133" s="10" t="inlineStr">
        <is>
          <t>2025-02-03</t>
        </is>
      </c>
      <c r="C1133" t="inlineStr">
        <is>
          <t>Customer 121</t>
        </is>
      </c>
      <c r="D1133" t="inlineStr">
        <is>
          <t>South</t>
        </is>
      </c>
      <c r="E1133" t="inlineStr">
        <is>
          <t>Office Supplies</t>
        </is>
      </c>
      <c r="F1133" t="inlineStr">
        <is>
          <t>Binder</t>
        </is>
      </c>
      <c r="G1133" t="inlineStr">
        <is>
          <t>Second Class</t>
        </is>
      </c>
      <c r="H1133" t="n">
        <v>1</v>
      </c>
      <c r="I1133" s="11" t="n">
        <v>429.12</v>
      </c>
      <c r="J1133" s="12" t="n">
        <v>0.1</v>
      </c>
      <c r="K1133" s="11" t="n">
        <v>386.21</v>
      </c>
      <c r="L1133" s="11" t="n">
        <v>114.48</v>
      </c>
      <c r="M1133" s="12" t="n">
        <v>0.2964</v>
      </c>
    </row>
    <row r="1134">
      <c r="A1134" t="inlineStr">
        <is>
          <t>ORD-11895</t>
        </is>
      </c>
      <c r="B1134" s="10" t="inlineStr">
        <is>
          <t>2025-02-04</t>
        </is>
      </c>
      <c r="C1134" t="inlineStr">
        <is>
          <t>Customer 192</t>
        </is>
      </c>
      <c r="D1134" t="inlineStr">
        <is>
          <t>East</t>
        </is>
      </c>
      <c r="E1134" t="inlineStr">
        <is>
          <t>Office Supplies</t>
        </is>
      </c>
      <c r="F1134" t="inlineStr">
        <is>
          <t>Stapler</t>
        </is>
      </c>
      <c r="G1134" t="inlineStr">
        <is>
          <t>Same Day</t>
        </is>
      </c>
      <c r="H1134" t="n">
        <v>11</v>
      </c>
      <c r="I1134" s="11" t="n">
        <v>1139.12</v>
      </c>
      <c r="J1134" s="12" t="n">
        <v>0</v>
      </c>
      <c r="K1134" s="11" t="n">
        <v>12530.32</v>
      </c>
      <c r="L1134" s="11" t="n">
        <v>2028.85</v>
      </c>
      <c r="M1134" s="12" t="n">
        <v>0.1619</v>
      </c>
    </row>
    <row r="1135">
      <c r="A1135" t="inlineStr">
        <is>
          <t>ORD-11516</t>
        </is>
      </c>
      <c r="B1135" s="10" t="inlineStr">
        <is>
          <t>2025-02-04</t>
        </is>
      </c>
      <c r="C1135" t="inlineStr">
        <is>
          <t>Customer 104</t>
        </is>
      </c>
      <c r="D1135" t="inlineStr">
        <is>
          <t>North</t>
        </is>
      </c>
      <c r="E1135" t="inlineStr">
        <is>
          <t>Furniture</t>
        </is>
      </c>
      <c r="F1135" t="inlineStr">
        <is>
          <t>Bookcase</t>
        </is>
      </c>
      <c r="G1135" t="inlineStr">
        <is>
          <t>Second Class</t>
        </is>
      </c>
      <c r="H1135" t="n">
        <v>3</v>
      </c>
      <c r="I1135" s="11" t="n">
        <v>10.32</v>
      </c>
      <c r="J1135" s="12" t="n">
        <v>0.3</v>
      </c>
      <c r="K1135" s="11" t="n">
        <v>21.67</v>
      </c>
      <c r="L1135" s="11" t="n">
        <v>-2.63</v>
      </c>
      <c r="M1135" s="12" t="n">
        <v>-0.1214</v>
      </c>
    </row>
    <row r="1136">
      <c r="A1136" t="inlineStr">
        <is>
          <t>ORD-10864</t>
        </is>
      </c>
      <c r="B1136" s="10" t="inlineStr">
        <is>
          <t>2025-02-05</t>
        </is>
      </c>
      <c r="C1136" t="inlineStr">
        <is>
          <t>Customer 191</t>
        </is>
      </c>
      <c r="D1136" t="inlineStr">
        <is>
          <t>East</t>
        </is>
      </c>
      <c r="E1136" t="inlineStr">
        <is>
          <t>Technology</t>
        </is>
      </c>
      <c r="F1136" t="inlineStr">
        <is>
          <t>Wireless Mouse</t>
        </is>
      </c>
      <c r="G1136" t="inlineStr">
        <is>
          <t>Standard Class</t>
        </is>
      </c>
      <c r="H1136" t="n">
        <v>10</v>
      </c>
      <c r="I1136" s="11" t="n">
        <v>1179.69</v>
      </c>
      <c r="J1136" s="12" t="n">
        <v>0.1</v>
      </c>
      <c r="K1136" s="11" t="n">
        <v>10617.21</v>
      </c>
      <c r="L1136" s="11" t="n">
        <v>4288.76</v>
      </c>
      <c r="M1136" s="12" t="n">
        <v>0.4039</v>
      </c>
    </row>
    <row r="1137">
      <c r="A1137" t="inlineStr">
        <is>
          <t>ORD-11350</t>
        </is>
      </c>
      <c r="B1137" s="10" t="inlineStr">
        <is>
          <t>2025-02-05</t>
        </is>
      </c>
      <c r="C1137" t="inlineStr">
        <is>
          <t>Customer 52</t>
        </is>
      </c>
      <c r="D1137" t="inlineStr">
        <is>
          <t>North</t>
        </is>
      </c>
      <c r="E1137" t="inlineStr">
        <is>
          <t>Technology</t>
        </is>
      </c>
      <c r="F1137" t="inlineStr">
        <is>
          <t>Printer</t>
        </is>
      </c>
      <c r="G1137" t="inlineStr">
        <is>
          <t>Standard Class</t>
        </is>
      </c>
      <c r="H1137" t="n">
        <v>9</v>
      </c>
      <c r="I1137" s="11" t="n">
        <v>1050.33</v>
      </c>
      <c r="J1137" s="12" t="n">
        <v>0</v>
      </c>
      <c r="K1137" s="11" t="n">
        <v>9452.969999999999</v>
      </c>
      <c r="L1137" s="11" t="n">
        <v>2165.68</v>
      </c>
      <c r="M1137" s="12" t="n">
        <v>0.2291</v>
      </c>
    </row>
    <row r="1138">
      <c r="A1138" t="inlineStr">
        <is>
          <t>ORD-11340</t>
        </is>
      </c>
      <c r="B1138" s="10" t="inlineStr">
        <is>
          <t>2025-02-05</t>
        </is>
      </c>
      <c r="C1138" t="inlineStr">
        <is>
          <t>Customer 38</t>
        </is>
      </c>
      <c r="D1138" t="inlineStr">
        <is>
          <t>West</t>
        </is>
      </c>
      <c r="E1138" t="inlineStr">
        <is>
          <t>Technology</t>
        </is>
      </c>
      <c r="F1138" t="inlineStr">
        <is>
          <t>Wireless Mouse</t>
        </is>
      </c>
      <c r="G1138" t="inlineStr">
        <is>
          <t>Same Day</t>
        </is>
      </c>
      <c r="H1138" t="n">
        <v>3</v>
      </c>
      <c r="I1138" s="11" t="n">
        <v>33.25</v>
      </c>
      <c r="J1138" s="12" t="n">
        <v>0.1</v>
      </c>
      <c r="K1138" s="11" t="n">
        <v>89.78</v>
      </c>
      <c r="L1138" s="11" t="n">
        <v>8.15</v>
      </c>
      <c r="M1138" s="12" t="n">
        <v>0.09080000000000001</v>
      </c>
    </row>
    <row r="1139">
      <c r="A1139" t="inlineStr">
        <is>
          <t>ORD-11950</t>
        </is>
      </c>
      <c r="B1139" s="10" t="inlineStr">
        <is>
          <t>2025-02-05</t>
        </is>
      </c>
      <c r="C1139" t="inlineStr">
        <is>
          <t>Customer 24</t>
        </is>
      </c>
      <c r="D1139" t="inlineStr">
        <is>
          <t>West</t>
        </is>
      </c>
      <c r="E1139" t="inlineStr">
        <is>
          <t>Technology</t>
        </is>
      </c>
      <c r="F1139" t="inlineStr">
        <is>
          <t>Laptop</t>
        </is>
      </c>
      <c r="G1139" t="inlineStr">
        <is>
          <t>Second Class</t>
        </is>
      </c>
      <c r="H1139" t="n">
        <v>7</v>
      </c>
      <c r="I1139" s="11" t="n">
        <v>327.18</v>
      </c>
      <c r="J1139" s="12" t="n">
        <v>0.1</v>
      </c>
      <c r="K1139" s="11" t="n">
        <v>2061.23</v>
      </c>
      <c r="L1139" s="11" t="n">
        <v>893.4400000000001</v>
      </c>
      <c r="M1139" s="12" t="n">
        <v>0.4334</v>
      </c>
    </row>
    <row r="1140">
      <c r="A1140" t="inlineStr">
        <is>
          <t>ORD-11324</t>
        </is>
      </c>
      <c r="B1140" s="10" t="inlineStr">
        <is>
          <t>2025-02-05</t>
        </is>
      </c>
      <c r="C1140" t="inlineStr">
        <is>
          <t>Customer 22</t>
        </is>
      </c>
      <c r="D1140" t="inlineStr">
        <is>
          <t>South</t>
        </is>
      </c>
      <c r="E1140" t="inlineStr">
        <is>
          <t>Technology</t>
        </is>
      </c>
      <c r="F1140" t="inlineStr">
        <is>
          <t>Monitor</t>
        </is>
      </c>
      <c r="G1140" t="inlineStr">
        <is>
          <t>Second Class</t>
        </is>
      </c>
      <c r="H1140" t="n">
        <v>3</v>
      </c>
      <c r="I1140" s="11" t="n">
        <v>255.96</v>
      </c>
      <c r="J1140" s="12" t="n">
        <v>0</v>
      </c>
      <c r="K1140" s="11" t="n">
        <v>767.88</v>
      </c>
      <c r="L1140" s="11" t="n">
        <v>255.49</v>
      </c>
      <c r="M1140" s="12" t="n">
        <v>0.3327</v>
      </c>
    </row>
    <row r="1141">
      <c r="A1141" t="inlineStr">
        <is>
          <t>ORD-11146</t>
        </is>
      </c>
      <c r="B1141" s="10" t="inlineStr">
        <is>
          <t>2025-02-06</t>
        </is>
      </c>
      <c r="C1141" t="inlineStr">
        <is>
          <t>Customer 99</t>
        </is>
      </c>
      <c r="D1141" t="inlineStr">
        <is>
          <t>East</t>
        </is>
      </c>
      <c r="E1141" t="inlineStr">
        <is>
          <t>Furniture</t>
        </is>
      </c>
      <c r="F1141" t="inlineStr">
        <is>
          <t>Table Lamp</t>
        </is>
      </c>
      <c r="G1141" t="inlineStr">
        <is>
          <t>Standard Class</t>
        </is>
      </c>
      <c r="H1141" t="n">
        <v>6</v>
      </c>
      <c r="I1141" s="11" t="n">
        <v>369.89</v>
      </c>
      <c r="J1141" s="12" t="n">
        <v>0</v>
      </c>
      <c r="K1141" s="11" t="n">
        <v>2219.34</v>
      </c>
      <c r="L1141" s="11" t="n">
        <v>1067.23</v>
      </c>
      <c r="M1141" s="12" t="n">
        <v>0.4809</v>
      </c>
    </row>
    <row r="1142">
      <c r="A1142" t="inlineStr">
        <is>
          <t>ORD-10327</t>
        </is>
      </c>
      <c r="B1142" s="10" t="inlineStr">
        <is>
          <t>2025-02-06</t>
        </is>
      </c>
      <c r="C1142" t="inlineStr">
        <is>
          <t>Customer 154</t>
        </is>
      </c>
      <c r="D1142" t="inlineStr">
        <is>
          <t>South</t>
        </is>
      </c>
      <c r="E1142" t="inlineStr">
        <is>
          <t>Furniture</t>
        </is>
      </c>
      <c r="F1142" t="inlineStr">
        <is>
          <t>Desk</t>
        </is>
      </c>
      <c r="G1142" t="inlineStr">
        <is>
          <t>Same Day</t>
        </is>
      </c>
      <c r="H1142" t="n">
        <v>4</v>
      </c>
      <c r="I1142" s="11" t="n">
        <v>545.6799999999999</v>
      </c>
      <c r="J1142" s="12" t="n">
        <v>0</v>
      </c>
      <c r="K1142" s="11" t="n">
        <v>2182.72</v>
      </c>
      <c r="L1142" s="11" t="n">
        <v>946.17</v>
      </c>
      <c r="M1142" s="12" t="n">
        <v>0.4335</v>
      </c>
    </row>
    <row r="1143">
      <c r="A1143" t="inlineStr">
        <is>
          <t>ORD-10587</t>
        </is>
      </c>
      <c r="B1143" s="10" t="inlineStr">
        <is>
          <t>2025-02-06</t>
        </is>
      </c>
      <c r="C1143" t="inlineStr">
        <is>
          <t>Customer 137</t>
        </is>
      </c>
      <c r="D1143" t="inlineStr">
        <is>
          <t>East</t>
        </is>
      </c>
      <c r="E1143" t="inlineStr">
        <is>
          <t>Office Supplies</t>
        </is>
      </c>
      <c r="F1143" t="inlineStr">
        <is>
          <t>Paper</t>
        </is>
      </c>
      <c r="G1143" t="inlineStr">
        <is>
          <t>Standard Class</t>
        </is>
      </c>
      <c r="H1143" t="n">
        <v>6</v>
      </c>
      <c r="I1143" s="11" t="n">
        <v>572.0599999999999</v>
      </c>
      <c r="J1143" s="12" t="n">
        <v>0.15</v>
      </c>
      <c r="K1143" s="11" t="n">
        <v>2917.51</v>
      </c>
      <c r="L1143" s="11" t="n">
        <v>737.17</v>
      </c>
      <c r="M1143" s="12" t="n">
        <v>0.2527</v>
      </c>
    </row>
    <row r="1144">
      <c r="A1144" t="inlineStr">
        <is>
          <t>ORD-11175</t>
        </is>
      </c>
      <c r="B1144" s="10" t="inlineStr">
        <is>
          <t>2025-02-07</t>
        </is>
      </c>
      <c r="C1144" t="inlineStr">
        <is>
          <t>Customer 37</t>
        </is>
      </c>
      <c r="D1144" t="inlineStr">
        <is>
          <t>West</t>
        </is>
      </c>
      <c r="E1144" t="inlineStr">
        <is>
          <t>Technology</t>
        </is>
      </c>
      <c r="F1144" t="inlineStr">
        <is>
          <t>Laptop</t>
        </is>
      </c>
      <c r="G1144" t="inlineStr">
        <is>
          <t>Standard Class</t>
        </is>
      </c>
      <c r="H1144" t="n">
        <v>4</v>
      </c>
      <c r="I1144" s="11" t="n">
        <v>292.91</v>
      </c>
      <c r="J1144" s="12" t="n">
        <v>0.15</v>
      </c>
      <c r="K1144" s="11" t="n">
        <v>995.89</v>
      </c>
      <c r="L1144" s="11" t="n">
        <v>247.4</v>
      </c>
      <c r="M1144" s="12" t="n">
        <v>0.2484</v>
      </c>
    </row>
    <row r="1145">
      <c r="A1145" t="inlineStr">
        <is>
          <t>ORD-11500</t>
        </is>
      </c>
      <c r="B1145" s="10" t="inlineStr">
        <is>
          <t>2025-02-07</t>
        </is>
      </c>
      <c r="C1145" t="inlineStr">
        <is>
          <t>Customer 98</t>
        </is>
      </c>
      <c r="D1145" t="inlineStr">
        <is>
          <t>East</t>
        </is>
      </c>
      <c r="E1145" t="inlineStr">
        <is>
          <t>Technology</t>
        </is>
      </c>
      <c r="F1145" t="inlineStr">
        <is>
          <t>Laptop</t>
        </is>
      </c>
      <c r="G1145" t="inlineStr">
        <is>
          <t>Standard Class</t>
        </is>
      </c>
      <c r="H1145" t="n">
        <v>7</v>
      </c>
      <c r="I1145" s="11" t="n">
        <v>1002.6</v>
      </c>
      <c r="J1145" s="12" t="n">
        <v>0</v>
      </c>
      <c r="K1145" s="11" t="n">
        <v>7018.2</v>
      </c>
      <c r="L1145" s="11" t="n">
        <v>2579.43</v>
      </c>
      <c r="M1145" s="12" t="n">
        <v>0.3675</v>
      </c>
    </row>
    <row r="1146">
      <c r="A1146" t="inlineStr">
        <is>
          <t>ORD-11437</t>
        </is>
      </c>
      <c r="B1146" s="10" t="inlineStr">
        <is>
          <t>2025-02-07</t>
        </is>
      </c>
      <c r="C1146" t="inlineStr">
        <is>
          <t>Customer 90</t>
        </is>
      </c>
      <c r="D1146" t="inlineStr">
        <is>
          <t>West</t>
        </is>
      </c>
      <c r="E1146" t="inlineStr">
        <is>
          <t>Office Supplies</t>
        </is>
      </c>
      <c r="F1146" t="inlineStr">
        <is>
          <t>Paper</t>
        </is>
      </c>
      <c r="G1146" t="inlineStr">
        <is>
          <t>Standard Class</t>
        </is>
      </c>
      <c r="H1146" t="n">
        <v>7</v>
      </c>
      <c r="I1146" s="11" t="n">
        <v>338.91</v>
      </c>
      <c r="J1146" s="12" t="n">
        <v>0.1</v>
      </c>
      <c r="K1146" s="11" t="n">
        <v>2135.13</v>
      </c>
      <c r="L1146" s="11" t="n">
        <v>519.04</v>
      </c>
      <c r="M1146" s="12" t="n">
        <v>0.2431</v>
      </c>
    </row>
    <row r="1147">
      <c r="A1147" t="inlineStr">
        <is>
          <t>ORD-11375</t>
        </is>
      </c>
      <c r="B1147" s="10" t="inlineStr">
        <is>
          <t>2025-02-07</t>
        </is>
      </c>
      <c r="C1147" t="inlineStr">
        <is>
          <t>Customer 140</t>
        </is>
      </c>
      <c r="D1147" t="inlineStr">
        <is>
          <t>South</t>
        </is>
      </c>
      <c r="E1147" t="inlineStr">
        <is>
          <t>Office Supplies</t>
        </is>
      </c>
      <c r="F1147" t="inlineStr">
        <is>
          <t>Binder</t>
        </is>
      </c>
      <c r="G1147" t="inlineStr">
        <is>
          <t>Second Class</t>
        </is>
      </c>
      <c r="H1147" t="n">
        <v>5</v>
      </c>
      <c r="I1147" s="11" t="n">
        <v>1065.58</v>
      </c>
      <c r="J1147" s="12" t="n">
        <v>0</v>
      </c>
      <c r="K1147" s="11" t="n">
        <v>5327.9</v>
      </c>
      <c r="L1147" s="11" t="n">
        <v>2125.31</v>
      </c>
      <c r="M1147" s="12" t="n">
        <v>0.3989</v>
      </c>
    </row>
    <row r="1148">
      <c r="A1148" t="inlineStr">
        <is>
          <t>ORD-11473</t>
        </is>
      </c>
      <c r="B1148" s="10" t="inlineStr">
        <is>
          <t>2025-02-08</t>
        </is>
      </c>
      <c r="C1148" t="inlineStr">
        <is>
          <t>Customer 71</t>
        </is>
      </c>
      <c r="D1148" t="inlineStr">
        <is>
          <t>West</t>
        </is>
      </c>
      <c r="E1148" t="inlineStr">
        <is>
          <t>Office Supplies</t>
        </is>
      </c>
      <c r="F1148" t="inlineStr">
        <is>
          <t>Pens (Box)</t>
        </is>
      </c>
      <c r="G1148" t="inlineStr">
        <is>
          <t>Standard Class</t>
        </is>
      </c>
      <c r="H1148" t="n">
        <v>10</v>
      </c>
      <c r="I1148" s="11" t="n">
        <v>338.26</v>
      </c>
      <c r="J1148" s="12" t="n">
        <v>0.3</v>
      </c>
      <c r="K1148" s="11" t="n">
        <v>2367.82</v>
      </c>
      <c r="L1148" s="11" t="n">
        <v>-422.03</v>
      </c>
      <c r="M1148" s="12" t="n">
        <v>-0.1782</v>
      </c>
    </row>
    <row r="1149">
      <c r="A1149" t="inlineStr">
        <is>
          <t>ORD-11889</t>
        </is>
      </c>
      <c r="B1149" s="10" t="inlineStr">
        <is>
          <t>2025-02-08</t>
        </is>
      </c>
      <c r="C1149" t="inlineStr">
        <is>
          <t>Customer 35</t>
        </is>
      </c>
      <c r="D1149" t="inlineStr">
        <is>
          <t>West</t>
        </is>
      </c>
      <c r="E1149" t="inlineStr">
        <is>
          <t>Furniture</t>
        </is>
      </c>
      <c r="F1149" t="inlineStr">
        <is>
          <t>Desk</t>
        </is>
      </c>
      <c r="G1149" t="inlineStr">
        <is>
          <t>Second Class</t>
        </is>
      </c>
      <c r="H1149" t="n">
        <v>1</v>
      </c>
      <c r="I1149" s="11" t="n">
        <v>222.43</v>
      </c>
      <c r="J1149" s="12" t="n">
        <v>0</v>
      </c>
      <c r="K1149" s="11" t="n">
        <v>222.43</v>
      </c>
      <c r="L1149" s="11" t="n">
        <v>105.18</v>
      </c>
      <c r="M1149" s="12" t="n">
        <v>0.4729</v>
      </c>
    </row>
    <row r="1150">
      <c r="A1150" t="inlineStr">
        <is>
          <t>ORD-10262</t>
        </is>
      </c>
      <c r="B1150" s="10" t="inlineStr">
        <is>
          <t>2025-02-08</t>
        </is>
      </c>
      <c r="C1150" t="inlineStr">
        <is>
          <t>Customer 87</t>
        </is>
      </c>
      <c r="D1150" t="inlineStr">
        <is>
          <t>North</t>
        </is>
      </c>
      <c r="E1150" t="inlineStr">
        <is>
          <t>Furniture</t>
        </is>
      </c>
      <c r="F1150" t="inlineStr">
        <is>
          <t>Desk</t>
        </is>
      </c>
      <c r="G1150" t="inlineStr">
        <is>
          <t>Standard Class</t>
        </is>
      </c>
      <c r="H1150" t="n">
        <v>4</v>
      </c>
      <c r="I1150" s="11" t="n">
        <v>748.13</v>
      </c>
      <c r="J1150" s="12" t="n">
        <v>0</v>
      </c>
      <c r="K1150" s="11" t="n">
        <v>2992.52</v>
      </c>
      <c r="L1150" s="11" t="n">
        <v>843.17</v>
      </c>
      <c r="M1150" s="12" t="n">
        <v>0.2818</v>
      </c>
    </row>
    <row r="1151">
      <c r="A1151" t="inlineStr">
        <is>
          <t>ORD-10082</t>
        </is>
      </c>
      <c r="B1151" s="10" t="inlineStr">
        <is>
          <t>2025-02-09</t>
        </is>
      </c>
      <c r="C1151" t="inlineStr">
        <is>
          <t>Customer 116</t>
        </is>
      </c>
      <c r="D1151" t="inlineStr">
        <is>
          <t>East</t>
        </is>
      </c>
      <c r="E1151" t="inlineStr">
        <is>
          <t>Technology</t>
        </is>
      </c>
      <c r="F1151" t="inlineStr">
        <is>
          <t>Laptop</t>
        </is>
      </c>
      <c r="G1151" t="inlineStr">
        <is>
          <t>Standard Class</t>
        </is>
      </c>
      <c r="H1151" t="n">
        <v>3</v>
      </c>
      <c r="I1151" s="11" t="n">
        <v>963.46</v>
      </c>
      <c r="J1151" s="12" t="n">
        <v>0.2</v>
      </c>
      <c r="K1151" s="11" t="n">
        <v>2312.3</v>
      </c>
      <c r="L1151" s="11" t="n">
        <v>34.96</v>
      </c>
      <c r="M1151" s="12" t="n">
        <v>0.0151</v>
      </c>
    </row>
    <row r="1152">
      <c r="A1152" t="inlineStr">
        <is>
          <t>ORD-11751</t>
        </is>
      </c>
      <c r="B1152" s="10" t="inlineStr">
        <is>
          <t>2025-02-09</t>
        </is>
      </c>
      <c r="C1152" t="inlineStr">
        <is>
          <t>Customer 22</t>
        </is>
      </c>
      <c r="D1152" t="inlineStr">
        <is>
          <t>South</t>
        </is>
      </c>
      <c r="E1152" t="inlineStr">
        <is>
          <t>Furniture</t>
        </is>
      </c>
      <c r="F1152" t="inlineStr">
        <is>
          <t>Table Lamp</t>
        </is>
      </c>
      <c r="G1152" t="inlineStr">
        <is>
          <t>Second Class</t>
        </is>
      </c>
      <c r="H1152" t="n">
        <v>2</v>
      </c>
      <c r="I1152" s="11" t="n">
        <v>1029.28</v>
      </c>
      <c r="J1152" s="12" t="n">
        <v>0.1</v>
      </c>
      <c r="K1152" s="11" t="n">
        <v>1852.7</v>
      </c>
      <c r="L1152" s="11" t="n">
        <v>214.19</v>
      </c>
      <c r="M1152" s="12" t="n">
        <v>0.1156</v>
      </c>
    </row>
    <row r="1153">
      <c r="A1153" t="inlineStr">
        <is>
          <t>ORD-11344</t>
        </is>
      </c>
      <c r="B1153" s="10" t="inlineStr">
        <is>
          <t>2025-02-09</t>
        </is>
      </c>
      <c r="C1153" t="inlineStr">
        <is>
          <t>Customer 179</t>
        </is>
      </c>
      <c r="D1153" t="inlineStr">
        <is>
          <t>West</t>
        </is>
      </c>
      <c r="E1153" t="inlineStr">
        <is>
          <t>Furniture</t>
        </is>
      </c>
      <c r="F1153" t="inlineStr">
        <is>
          <t>Chair</t>
        </is>
      </c>
      <c r="G1153" t="inlineStr">
        <is>
          <t>Standard Class</t>
        </is>
      </c>
      <c r="H1153" t="n">
        <v>8</v>
      </c>
      <c r="I1153" s="11" t="n">
        <v>112.79</v>
      </c>
      <c r="J1153" s="12" t="n">
        <v>0</v>
      </c>
      <c r="K1153" s="11" t="n">
        <v>902.3200000000001</v>
      </c>
      <c r="L1153" s="11" t="n">
        <v>327.96</v>
      </c>
      <c r="M1153" s="12" t="n">
        <v>0.3635</v>
      </c>
    </row>
    <row r="1154">
      <c r="A1154" t="inlineStr">
        <is>
          <t>ORD-11609</t>
        </is>
      </c>
      <c r="B1154" s="10" t="inlineStr">
        <is>
          <t>2025-02-09</t>
        </is>
      </c>
      <c r="C1154" t="inlineStr">
        <is>
          <t>Customer 45</t>
        </is>
      </c>
      <c r="D1154" t="inlineStr">
        <is>
          <t>North</t>
        </is>
      </c>
      <c r="E1154" t="inlineStr">
        <is>
          <t>Office Supplies</t>
        </is>
      </c>
      <c r="F1154" t="inlineStr">
        <is>
          <t>Paper</t>
        </is>
      </c>
      <c r="G1154" t="inlineStr">
        <is>
          <t>Same Day</t>
        </is>
      </c>
      <c r="H1154" t="n">
        <v>1</v>
      </c>
      <c r="I1154" s="11" t="n">
        <v>924.2</v>
      </c>
      <c r="J1154" s="12" t="n">
        <v>0.2</v>
      </c>
      <c r="K1154" s="11" t="n">
        <v>739.36</v>
      </c>
      <c r="L1154" s="11" t="n">
        <v>149.8</v>
      </c>
      <c r="M1154" s="12" t="n">
        <v>0.2026</v>
      </c>
    </row>
    <row r="1155">
      <c r="A1155" t="inlineStr">
        <is>
          <t>ORD-10141</t>
        </is>
      </c>
      <c r="B1155" s="10" t="inlineStr">
        <is>
          <t>2025-02-09</t>
        </is>
      </c>
      <c r="C1155" t="inlineStr">
        <is>
          <t>Customer 127</t>
        </is>
      </c>
      <c r="D1155" t="inlineStr">
        <is>
          <t>North</t>
        </is>
      </c>
      <c r="E1155" t="inlineStr">
        <is>
          <t>Technology</t>
        </is>
      </c>
      <c r="F1155" t="inlineStr">
        <is>
          <t>Printer</t>
        </is>
      </c>
      <c r="G1155" t="inlineStr">
        <is>
          <t>Standard Class</t>
        </is>
      </c>
      <c r="H1155" t="n">
        <v>7</v>
      </c>
      <c r="I1155" s="11" t="n">
        <v>569.98</v>
      </c>
      <c r="J1155" s="12" t="n">
        <v>0.3</v>
      </c>
      <c r="K1155" s="11" t="n">
        <v>2792.9</v>
      </c>
      <c r="L1155" s="11" t="n">
        <v>319.39</v>
      </c>
      <c r="M1155" s="12" t="n">
        <v>0.1144</v>
      </c>
    </row>
    <row r="1156">
      <c r="A1156" t="inlineStr">
        <is>
          <t>ORD-11442</t>
        </is>
      </c>
      <c r="B1156" s="10" t="inlineStr">
        <is>
          <t>2025-02-10</t>
        </is>
      </c>
      <c r="C1156" t="inlineStr">
        <is>
          <t>Customer 11</t>
        </is>
      </c>
      <c r="D1156" t="inlineStr">
        <is>
          <t>East</t>
        </is>
      </c>
      <c r="E1156" t="inlineStr">
        <is>
          <t>Office Supplies</t>
        </is>
      </c>
      <c r="F1156" t="inlineStr">
        <is>
          <t>Stapler</t>
        </is>
      </c>
      <c r="G1156" t="inlineStr">
        <is>
          <t>Standard Class</t>
        </is>
      </c>
      <c r="H1156" t="n">
        <v>11</v>
      </c>
      <c r="I1156" s="11" t="n">
        <v>274.89</v>
      </c>
      <c r="J1156" s="12" t="n">
        <v>0.1</v>
      </c>
      <c r="K1156" s="11" t="n">
        <v>2721.41</v>
      </c>
      <c r="L1156" s="11" t="n">
        <v>1106.85</v>
      </c>
      <c r="M1156" s="12" t="n">
        <v>0.4067</v>
      </c>
    </row>
    <row r="1157">
      <c r="A1157" t="inlineStr">
        <is>
          <t>ORD-11016</t>
        </is>
      </c>
      <c r="B1157" s="10" t="inlineStr">
        <is>
          <t>2025-02-10</t>
        </is>
      </c>
      <c r="C1157" t="inlineStr">
        <is>
          <t>Customer 97</t>
        </is>
      </c>
      <c r="D1157" t="inlineStr">
        <is>
          <t>North</t>
        </is>
      </c>
      <c r="E1157" t="inlineStr">
        <is>
          <t>Technology</t>
        </is>
      </c>
      <c r="F1157" t="inlineStr">
        <is>
          <t>Printer</t>
        </is>
      </c>
      <c r="G1157" t="inlineStr">
        <is>
          <t>Standard Class</t>
        </is>
      </c>
      <c r="H1157" t="n">
        <v>7</v>
      </c>
      <c r="I1157" s="11" t="n">
        <v>284.75</v>
      </c>
      <c r="J1157" s="12" t="n">
        <v>0</v>
      </c>
      <c r="K1157" s="11" t="n">
        <v>1993.25</v>
      </c>
      <c r="L1157" s="11" t="n">
        <v>313.48</v>
      </c>
      <c r="M1157" s="12" t="n">
        <v>0.1573</v>
      </c>
    </row>
    <row r="1158">
      <c r="A1158" t="inlineStr">
        <is>
          <t>ORD-10573</t>
        </is>
      </c>
      <c r="B1158" s="10" t="inlineStr">
        <is>
          <t>2025-02-10</t>
        </is>
      </c>
      <c r="C1158" t="inlineStr">
        <is>
          <t>Customer 157</t>
        </is>
      </c>
      <c r="D1158" t="inlineStr">
        <is>
          <t>North</t>
        </is>
      </c>
      <c r="E1158" t="inlineStr">
        <is>
          <t>Office Supplies</t>
        </is>
      </c>
      <c r="F1158" t="inlineStr">
        <is>
          <t>Pens (Box)</t>
        </is>
      </c>
      <c r="G1158" t="inlineStr">
        <is>
          <t>First Class</t>
        </is>
      </c>
      <c r="H1158" t="n">
        <v>10</v>
      </c>
      <c r="I1158" s="11" t="n">
        <v>923.38</v>
      </c>
      <c r="J1158" s="12" t="n">
        <v>0</v>
      </c>
      <c r="K1158" s="11" t="n">
        <v>9233.799999999999</v>
      </c>
      <c r="L1158" s="11" t="n">
        <v>2877.06</v>
      </c>
      <c r="M1158" s="12" t="n">
        <v>0.3116</v>
      </c>
    </row>
    <row r="1159">
      <c r="A1159" t="inlineStr">
        <is>
          <t>ORD-11757</t>
        </is>
      </c>
      <c r="B1159" s="10" t="inlineStr">
        <is>
          <t>2025-02-10</t>
        </is>
      </c>
      <c r="C1159" t="inlineStr">
        <is>
          <t>Customer 195</t>
        </is>
      </c>
      <c r="D1159" t="inlineStr">
        <is>
          <t>West</t>
        </is>
      </c>
      <c r="E1159" t="inlineStr">
        <is>
          <t>Furniture</t>
        </is>
      </c>
      <c r="F1159" t="inlineStr">
        <is>
          <t>Bookcase</t>
        </is>
      </c>
      <c r="G1159" t="inlineStr">
        <is>
          <t>Standard Class</t>
        </is>
      </c>
      <c r="H1159" t="n">
        <v>4</v>
      </c>
      <c r="I1159" s="11" t="n">
        <v>1183.34</v>
      </c>
      <c r="J1159" s="12" t="n">
        <v>0</v>
      </c>
      <c r="K1159" s="11" t="n">
        <v>4733.36</v>
      </c>
      <c r="L1159" s="11" t="n">
        <v>1985.42</v>
      </c>
      <c r="M1159" s="12" t="n">
        <v>0.4195</v>
      </c>
    </row>
    <row r="1160">
      <c r="A1160" t="inlineStr">
        <is>
          <t>ORD-10321</t>
        </is>
      </c>
      <c r="B1160" s="10" t="inlineStr">
        <is>
          <t>2025-02-11</t>
        </is>
      </c>
      <c r="C1160" t="inlineStr">
        <is>
          <t>Customer 118</t>
        </is>
      </c>
      <c r="D1160" t="inlineStr">
        <is>
          <t>North</t>
        </is>
      </c>
      <c r="E1160" t="inlineStr">
        <is>
          <t>Office Supplies</t>
        </is>
      </c>
      <c r="F1160" t="inlineStr">
        <is>
          <t>Binder</t>
        </is>
      </c>
      <c r="G1160" t="inlineStr">
        <is>
          <t>Standard Class</t>
        </is>
      </c>
      <c r="H1160" t="n">
        <v>11</v>
      </c>
      <c r="I1160" s="11" t="n">
        <v>1006.57</v>
      </c>
      <c r="J1160" s="12" t="n">
        <v>0</v>
      </c>
      <c r="K1160" s="11" t="n">
        <v>11072.27</v>
      </c>
      <c r="L1160" s="11" t="n">
        <v>3495.95</v>
      </c>
      <c r="M1160" s="12" t="n">
        <v>0.3157</v>
      </c>
    </row>
    <row r="1161">
      <c r="A1161" t="inlineStr">
        <is>
          <t>ORD-11840</t>
        </is>
      </c>
      <c r="B1161" s="10" t="inlineStr">
        <is>
          <t>2025-02-11</t>
        </is>
      </c>
      <c r="C1161" t="inlineStr">
        <is>
          <t>Customer 161</t>
        </is>
      </c>
      <c r="D1161" t="inlineStr">
        <is>
          <t>West</t>
        </is>
      </c>
      <c r="E1161" t="inlineStr">
        <is>
          <t>Office Supplies</t>
        </is>
      </c>
      <c r="F1161" t="inlineStr">
        <is>
          <t>Pens (Box)</t>
        </is>
      </c>
      <c r="G1161" t="inlineStr">
        <is>
          <t>First Class</t>
        </is>
      </c>
      <c r="H1161" t="n">
        <v>9</v>
      </c>
      <c r="I1161" s="11" t="n">
        <v>433.07</v>
      </c>
      <c r="J1161" s="12" t="n">
        <v>0.2</v>
      </c>
      <c r="K1161" s="11" t="n">
        <v>3118.1</v>
      </c>
      <c r="L1161" s="11" t="n">
        <v>639.12</v>
      </c>
      <c r="M1161" s="12" t="n">
        <v>0.205</v>
      </c>
    </row>
    <row r="1162">
      <c r="A1162" t="inlineStr">
        <is>
          <t>ORD-10473</t>
        </is>
      </c>
      <c r="B1162" s="10" t="inlineStr">
        <is>
          <t>2025-02-12</t>
        </is>
      </c>
      <c r="C1162" t="inlineStr">
        <is>
          <t>Customer 50</t>
        </is>
      </c>
      <c r="D1162" t="inlineStr">
        <is>
          <t>West</t>
        </is>
      </c>
      <c r="E1162" t="inlineStr">
        <is>
          <t>Furniture</t>
        </is>
      </c>
      <c r="F1162" t="inlineStr">
        <is>
          <t>Table Lamp</t>
        </is>
      </c>
      <c r="G1162" t="inlineStr">
        <is>
          <t>Second Class</t>
        </is>
      </c>
      <c r="H1162" t="n">
        <v>7</v>
      </c>
      <c r="I1162" s="11" t="n">
        <v>1183.98</v>
      </c>
      <c r="J1162" s="12" t="n">
        <v>0.1</v>
      </c>
      <c r="K1162" s="11" t="n">
        <v>7459.07</v>
      </c>
      <c r="L1162" s="11" t="n">
        <v>1253.4</v>
      </c>
      <c r="M1162" s="12" t="n">
        <v>0.168</v>
      </c>
    </row>
    <row r="1163">
      <c r="A1163" t="inlineStr">
        <is>
          <t>ORD-11578</t>
        </is>
      </c>
      <c r="B1163" s="10" t="inlineStr">
        <is>
          <t>2025-02-12</t>
        </is>
      </c>
      <c r="C1163" t="inlineStr">
        <is>
          <t>Customer 27</t>
        </is>
      </c>
      <c r="D1163" t="inlineStr">
        <is>
          <t>South</t>
        </is>
      </c>
      <c r="E1163" t="inlineStr">
        <is>
          <t>Technology</t>
        </is>
      </c>
      <c r="F1163" t="inlineStr">
        <is>
          <t>Monitor</t>
        </is>
      </c>
      <c r="G1163" t="inlineStr">
        <is>
          <t>Second Class</t>
        </is>
      </c>
      <c r="H1163" t="n">
        <v>3</v>
      </c>
      <c r="I1163" s="11" t="n">
        <v>892.3099999999999</v>
      </c>
      <c r="J1163" s="12" t="n">
        <v>0</v>
      </c>
      <c r="K1163" s="11" t="n">
        <v>2676.93</v>
      </c>
      <c r="L1163" s="11" t="n">
        <v>701.09</v>
      </c>
      <c r="M1163" s="12" t="n">
        <v>0.2619</v>
      </c>
    </row>
    <row r="1164">
      <c r="A1164" t="inlineStr">
        <is>
          <t>ORD-10353</t>
        </is>
      </c>
      <c r="B1164" s="10" t="inlineStr">
        <is>
          <t>2025-02-13</t>
        </is>
      </c>
      <c r="C1164" t="inlineStr">
        <is>
          <t>Customer 8</t>
        </is>
      </c>
      <c r="D1164" t="inlineStr">
        <is>
          <t>East</t>
        </is>
      </c>
      <c r="E1164" t="inlineStr">
        <is>
          <t>Office Supplies</t>
        </is>
      </c>
      <c r="F1164" t="inlineStr">
        <is>
          <t>Paper</t>
        </is>
      </c>
      <c r="G1164" t="inlineStr">
        <is>
          <t>Second Class</t>
        </is>
      </c>
      <c r="H1164" t="n">
        <v>1</v>
      </c>
      <c r="I1164" s="11" t="n">
        <v>712.6</v>
      </c>
      <c r="J1164" s="12" t="n">
        <v>0.1</v>
      </c>
      <c r="K1164" s="11" t="n">
        <v>641.34</v>
      </c>
      <c r="L1164" s="11" t="n">
        <v>195.45</v>
      </c>
      <c r="M1164" s="12" t="n">
        <v>0.3048</v>
      </c>
    </row>
    <row r="1165">
      <c r="A1165" t="inlineStr">
        <is>
          <t>ORD-10446</t>
        </is>
      </c>
      <c r="B1165" s="10" t="inlineStr">
        <is>
          <t>2025-02-14</t>
        </is>
      </c>
      <c r="C1165" t="inlineStr">
        <is>
          <t>Customer 106</t>
        </is>
      </c>
      <c r="D1165" t="inlineStr">
        <is>
          <t>West</t>
        </is>
      </c>
      <c r="E1165" t="inlineStr">
        <is>
          <t>Office Supplies</t>
        </is>
      </c>
      <c r="F1165" t="inlineStr">
        <is>
          <t>Stapler</t>
        </is>
      </c>
      <c r="G1165" t="inlineStr">
        <is>
          <t>Same Day</t>
        </is>
      </c>
      <c r="H1165" t="n">
        <v>10</v>
      </c>
      <c r="I1165" s="11" t="n">
        <v>570.1</v>
      </c>
      <c r="J1165" s="12" t="n">
        <v>0.1</v>
      </c>
      <c r="K1165" s="11" t="n">
        <v>5130.9</v>
      </c>
      <c r="L1165" s="11" t="n">
        <v>1861.2</v>
      </c>
      <c r="M1165" s="12" t="n">
        <v>0.3627</v>
      </c>
    </row>
    <row r="1166">
      <c r="A1166" t="inlineStr">
        <is>
          <t>ORD-11561</t>
        </is>
      </c>
      <c r="B1166" s="10" t="inlineStr">
        <is>
          <t>2025-02-14</t>
        </is>
      </c>
      <c r="C1166" t="inlineStr">
        <is>
          <t>Customer 183</t>
        </is>
      </c>
      <c r="D1166" t="inlineStr">
        <is>
          <t>South</t>
        </is>
      </c>
      <c r="E1166" t="inlineStr">
        <is>
          <t>Furniture</t>
        </is>
      </c>
      <c r="F1166" t="inlineStr">
        <is>
          <t>Desk</t>
        </is>
      </c>
      <c r="G1166" t="inlineStr">
        <is>
          <t>Same Day</t>
        </is>
      </c>
      <c r="H1166" t="n">
        <v>1</v>
      </c>
      <c r="I1166" s="11" t="n">
        <v>286.43</v>
      </c>
      <c r="J1166" s="12" t="n">
        <v>0</v>
      </c>
      <c r="K1166" s="11" t="n">
        <v>286.43</v>
      </c>
      <c r="L1166" s="11" t="n">
        <v>111.77</v>
      </c>
      <c r="M1166" s="12" t="n">
        <v>0.3902</v>
      </c>
    </row>
    <row r="1167">
      <c r="A1167" t="inlineStr">
        <is>
          <t>ORD-11778</t>
        </is>
      </c>
      <c r="B1167" s="10" t="inlineStr">
        <is>
          <t>2025-02-14</t>
        </is>
      </c>
      <c r="C1167" t="inlineStr">
        <is>
          <t>Customer 74</t>
        </is>
      </c>
      <c r="D1167" t="inlineStr">
        <is>
          <t>North</t>
        </is>
      </c>
      <c r="E1167" t="inlineStr">
        <is>
          <t>Office Supplies</t>
        </is>
      </c>
      <c r="F1167" t="inlineStr">
        <is>
          <t>Stapler</t>
        </is>
      </c>
      <c r="G1167" t="inlineStr">
        <is>
          <t>Second Class</t>
        </is>
      </c>
      <c r="H1167" t="n">
        <v>11</v>
      </c>
      <c r="I1167" s="11" t="n">
        <v>677.78</v>
      </c>
      <c r="J1167" s="12" t="n">
        <v>0</v>
      </c>
      <c r="K1167" s="11" t="n">
        <v>7455.58</v>
      </c>
      <c r="L1167" s="11" t="n">
        <v>2163.54</v>
      </c>
      <c r="M1167" s="12" t="n">
        <v>0.2902</v>
      </c>
    </row>
    <row r="1168">
      <c r="A1168" t="inlineStr">
        <is>
          <t>ORD-11923</t>
        </is>
      </c>
      <c r="B1168" s="10" t="inlineStr">
        <is>
          <t>2025-02-14</t>
        </is>
      </c>
      <c r="C1168" t="inlineStr">
        <is>
          <t>Customer 53</t>
        </is>
      </c>
      <c r="D1168" t="inlineStr">
        <is>
          <t>South</t>
        </is>
      </c>
      <c r="E1168" t="inlineStr">
        <is>
          <t>Technology</t>
        </is>
      </c>
      <c r="F1168" t="inlineStr">
        <is>
          <t>Wireless Mouse</t>
        </is>
      </c>
      <c r="G1168" t="inlineStr">
        <is>
          <t>Same Day</t>
        </is>
      </c>
      <c r="H1168" t="n">
        <v>7</v>
      </c>
      <c r="I1168" s="11" t="n">
        <v>898.01</v>
      </c>
      <c r="J1168" s="12" t="n">
        <v>0.3</v>
      </c>
      <c r="K1168" s="11" t="n">
        <v>4400.25</v>
      </c>
      <c r="L1168" s="11" t="n">
        <v>327.99</v>
      </c>
      <c r="M1168" s="12" t="n">
        <v>0.0745</v>
      </c>
    </row>
    <row r="1169">
      <c r="A1169" t="inlineStr">
        <is>
          <t>ORD-10484</t>
        </is>
      </c>
      <c r="B1169" s="10" t="inlineStr">
        <is>
          <t>2025-02-14</t>
        </is>
      </c>
      <c r="C1169" t="inlineStr">
        <is>
          <t>Customer 197</t>
        </is>
      </c>
      <c r="D1169" t="inlineStr">
        <is>
          <t>South</t>
        </is>
      </c>
      <c r="E1169" t="inlineStr">
        <is>
          <t>Technology</t>
        </is>
      </c>
      <c r="F1169" t="inlineStr">
        <is>
          <t>Wireless Mouse</t>
        </is>
      </c>
      <c r="G1169" t="inlineStr">
        <is>
          <t>First Class</t>
        </is>
      </c>
      <c r="H1169" t="n">
        <v>11</v>
      </c>
      <c r="I1169" s="11" t="n">
        <v>1103.4</v>
      </c>
      <c r="J1169" s="12" t="n">
        <v>0</v>
      </c>
      <c r="K1169" s="11" t="n">
        <v>12137.4</v>
      </c>
      <c r="L1169" s="11" t="n">
        <v>5580.87</v>
      </c>
      <c r="M1169" s="12" t="n">
        <v>0.4598</v>
      </c>
    </row>
    <row r="1170">
      <c r="A1170" t="inlineStr">
        <is>
          <t>ORD-10770</t>
        </is>
      </c>
      <c r="B1170" s="10" t="inlineStr">
        <is>
          <t>2025-02-15</t>
        </is>
      </c>
      <c r="C1170" t="inlineStr">
        <is>
          <t>Customer 190</t>
        </is>
      </c>
      <c r="D1170" t="inlineStr">
        <is>
          <t>South</t>
        </is>
      </c>
      <c r="E1170" t="inlineStr">
        <is>
          <t>Office Supplies</t>
        </is>
      </c>
      <c r="F1170" t="inlineStr">
        <is>
          <t>Pens (Box)</t>
        </is>
      </c>
      <c r="G1170" t="inlineStr">
        <is>
          <t>Same Day</t>
        </is>
      </c>
      <c r="H1170" t="n">
        <v>3</v>
      </c>
      <c r="I1170" s="11" t="n">
        <v>356.99</v>
      </c>
      <c r="J1170" s="12" t="n">
        <v>0</v>
      </c>
      <c r="K1170" s="11" t="n">
        <v>1070.97</v>
      </c>
      <c r="L1170" s="11" t="n">
        <v>305.18</v>
      </c>
      <c r="M1170" s="12" t="n">
        <v>0.285</v>
      </c>
    </row>
    <row r="1171">
      <c r="A1171" t="inlineStr">
        <is>
          <t>ORD-10305</t>
        </is>
      </c>
      <c r="B1171" s="10" t="inlineStr">
        <is>
          <t>2025-02-15</t>
        </is>
      </c>
      <c r="C1171" t="inlineStr">
        <is>
          <t>Customer 82</t>
        </is>
      </c>
      <c r="D1171" t="inlineStr">
        <is>
          <t>South</t>
        </is>
      </c>
      <c r="E1171" t="inlineStr">
        <is>
          <t>Office Supplies</t>
        </is>
      </c>
      <c r="F1171" t="inlineStr">
        <is>
          <t>Paper</t>
        </is>
      </c>
      <c r="G1171" t="inlineStr">
        <is>
          <t>First Class</t>
        </is>
      </c>
      <c r="H1171" t="n">
        <v>3</v>
      </c>
      <c r="I1171" s="11" t="n">
        <v>365.17</v>
      </c>
      <c r="J1171" s="12" t="n">
        <v>0</v>
      </c>
      <c r="K1171" s="11" t="n">
        <v>1095.51</v>
      </c>
      <c r="L1171" s="11" t="n">
        <v>397.51</v>
      </c>
      <c r="M1171" s="12" t="n">
        <v>0.3629</v>
      </c>
    </row>
    <row r="1172">
      <c r="A1172" t="inlineStr">
        <is>
          <t>ORD-11833</t>
        </is>
      </c>
      <c r="B1172" s="10" t="inlineStr">
        <is>
          <t>2025-02-16</t>
        </is>
      </c>
      <c r="C1172" t="inlineStr">
        <is>
          <t>Customer 164</t>
        </is>
      </c>
      <c r="D1172" t="inlineStr">
        <is>
          <t>South</t>
        </is>
      </c>
      <c r="E1172" t="inlineStr">
        <is>
          <t>Office Supplies</t>
        </is>
      </c>
      <c r="F1172" t="inlineStr">
        <is>
          <t>Paper</t>
        </is>
      </c>
      <c r="G1172" t="inlineStr">
        <is>
          <t>First Class</t>
        </is>
      </c>
      <c r="H1172" t="n">
        <v>6</v>
      </c>
      <c r="I1172" s="11" t="n">
        <v>1146.73</v>
      </c>
      <c r="J1172" s="12" t="n">
        <v>0</v>
      </c>
      <c r="K1172" s="11" t="n">
        <v>6880.38</v>
      </c>
      <c r="L1172" s="11" t="n">
        <v>1288.11</v>
      </c>
      <c r="M1172" s="12" t="n">
        <v>0.1872</v>
      </c>
    </row>
    <row r="1173">
      <c r="A1173" t="inlineStr">
        <is>
          <t>ORD-11173</t>
        </is>
      </c>
      <c r="B1173" s="10" t="inlineStr">
        <is>
          <t>2025-02-16</t>
        </is>
      </c>
      <c r="C1173" t="inlineStr">
        <is>
          <t>Customer 154</t>
        </is>
      </c>
      <c r="D1173" t="inlineStr">
        <is>
          <t>South</t>
        </is>
      </c>
      <c r="E1173" t="inlineStr">
        <is>
          <t>Office Supplies</t>
        </is>
      </c>
      <c r="F1173" t="inlineStr">
        <is>
          <t>Binder</t>
        </is>
      </c>
      <c r="G1173" t="inlineStr">
        <is>
          <t>Same Day</t>
        </is>
      </c>
      <c r="H1173" t="n">
        <v>5</v>
      </c>
      <c r="I1173" s="11" t="n">
        <v>239.36</v>
      </c>
      <c r="J1173" s="12" t="n">
        <v>0.15</v>
      </c>
      <c r="K1173" s="11" t="n">
        <v>1017.28</v>
      </c>
      <c r="L1173" s="11" t="n">
        <v>395.1</v>
      </c>
      <c r="M1173" s="12" t="n">
        <v>0.3884</v>
      </c>
    </row>
    <row r="1174">
      <c r="A1174" t="inlineStr">
        <is>
          <t>ORD-10192</t>
        </is>
      </c>
      <c r="B1174" s="10" t="inlineStr">
        <is>
          <t>2025-02-16</t>
        </is>
      </c>
      <c r="C1174" t="inlineStr">
        <is>
          <t>Customer 162</t>
        </is>
      </c>
      <c r="D1174" t="inlineStr">
        <is>
          <t>East</t>
        </is>
      </c>
      <c r="E1174" t="inlineStr">
        <is>
          <t>Technology</t>
        </is>
      </c>
      <c r="F1174" t="inlineStr">
        <is>
          <t>Monitor</t>
        </is>
      </c>
      <c r="G1174" t="inlineStr">
        <is>
          <t>Second Class</t>
        </is>
      </c>
      <c r="H1174" t="n">
        <v>3</v>
      </c>
      <c r="I1174" s="11" t="n">
        <v>1178.66</v>
      </c>
      <c r="J1174" s="12" t="n">
        <v>0</v>
      </c>
      <c r="K1174" s="11" t="n">
        <v>3535.98</v>
      </c>
      <c r="L1174" s="11" t="n">
        <v>1242.04</v>
      </c>
      <c r="M1174" s="12" t="n">
        <v>0.3513</v>
      </c>
    </row>
    <row r="1175">
      <c r="A1175" t="inlineStr">
        <is>
          <t>ORD-10797</t>
        </is>
      </c>
      <c r="B1175" s="10" t="inlineStr">
        <is>
          <t>2025-02-17</t>
        </is>
      </c>
      <c r="C1175" t="inlineStr">
        <is>
          <t>Customer 186</t>
        </is>
      </c>
      <c r="D1175" t="inlineStr">
        <is>
          <t>South</t>
        </is>
      </c>
      <c r="E1175" t="inlineStr">
        <is>
          <t>Technology</t>
        </is>
      </c>
      <c r="F1175" t="inlineStr">
        <is>
          <t>Wireless Mouse</t>
        </is>
      </c>
      <c r="G1175" t="inlineStr">
        <is>
          <t>Same Day</t>
        </is>
      </c>
      <c r="H1175" t="n">
        <v>9</v>
      </c>
      <c r="I1175" s="11" t="n">
        <v>694.92</v>
      </c>
      <c r="J1175" s="12" t="n">
        <v>0.1</v>
      </c>
      <c r="K1175" s="11" t="n">
        <v>5628.85</v>
      </c>
      <c r="L1175" s="11" t="n">
        <v>2112.54</v>
      </c>
      <c r="M1175" s="12" t="n">
        <v>0.3753</v>
      </c>
    </row>
    <row r="1176">
      <c r="A1176" t="inlineStr">
        <is>
          <t>ORD-11276</t>
        </is>
      </c>
      <c r="B1176" s="10" t="inlineStr">
        <is>
          <t>2025-02-17</t>
        </is>
      </c>
      <c r="C1176" t="inlineStr">
        <is>
          <t>Customer 77</t>
        </is>
      </c>
      <c r="D1176" t="inlineStr">
        <is>
          <t>South</t>
        </is>
      </c>
      <c r="E1176" t="inlineStr">
        <is>
          <t>Technology</t>
        </is>
      </c>
      <c r="F1176" t="inlineStr">
        <is>
          <t>Monitor</t>
        </is>
      </c>
      <c r="G1176" t="inlineStr">
        <is>
          <t>First Class</t>
        </is>
      </c>
      <c r="H1176" t="n">
        <v>7</v>
      </c>
      <c r="I1176" s="11" t="n">
        <v>804.55</v>
      </c>
      <c r="J1176" s="12" t="n">
        <v>0</v>
      </c>
      <c r="K1176" s="11" t="n">
        <v>5631.85</v>
      </c>
      <c r="L1176" s="11" t="n">
        <v>1933.42</v>
      </c>
      <c r="M1176" s="12" t="n">
        <v>0.3433</v>
      </c>
    </row>
    <row r="1177">
      <c r="A1177" t="inlineStr">
        <is>
          <t>ORD-10170</t>
        </is>
      </c>
      <c r="B1177" s="10" t="inlineStr">
        <is>
          <t>2025-02-17</t>
        </is>
      </c>
      <c r="C1177" t="inlineStr">
        <is>
          <t>Customer 191</t>
        </is>
      </c>
      <c r="D1177" t="inlineStr">
        <is>
          <t>East</t>
        </is>
      </c>
      <c r="E1177" t="inlineStr">
        <is>
          <t>Furniture</t>
        </is>
      </c>
      <c r="F1177" t="inlineStr">
        <is>
          <t>Bookcase</t>
        </is>
      </c>
      <c r="G1177" t="inlineStr">
        <is>
          <t>Standard Class</t>
        </is>
      </c>
      <c r="H1177" t="n">
        <v>1</v>
      </c>
      <c r="I1177" s="11" t="n">
        <v>663.34</v>
      </c>
      <c r="J1177" s="12" t="n">
        <v>0.15</v>
      </c>
      <c r="K1177" s="11" t="n">
        <v>563.84</v>
      </c>
      <c r="L1177" s="11" t="n">
        <v>67.20999999999999</v>
      </c>
      <c r="M1177" s="12" t="n">
        <v>0.1192</v>
      </c>
    </row>
    <row r="1178">
      <c r="A1178" t="inlineStr">
        <is>
          <t>ORD-11363</t>
        </is>
      </c>
      <c r="B1178" s="10" t="inlineStr">
        <is>
          <t>2025-02-17</t>
        </is>
      </c>
      <c r="C1178" t="inlineStr">
        <is>
          <t>Customer 21</t>
        </is>
      </c>
      <c r="D1178" t="inlineStr">
        <is>
          <t>East</t>
        </is>
      </c>
      <c r="E1178" t="inlineStr">
        <is>
          <t>Office Supplies</t>
        </is>
      </c>
      <c r="F1178" t="inlineStr">
        <is>
          <t>Stapler</t>
        </is>
      </c>
      <c r="G1178" t="inlineStr">
        <is>
          <t>First Class</t>
        </is>
      </c>
      <c r="H1178" t="n">
        <v>6</v>
      </c>
      <c r="I1178" s="11" t="n">
        <v>449.72</v>
      </c>
      <c r="J1178" s="12" t="n">
        <v>0.1</v>
      </c>
      <c r="K1178" s="11" t="n">
        <v>2428.49</v>
      </c>
      <c r="L1178" s="11" t="n">
        <v>464.95</v>
      </c>
      <c r="M1178" s="12" t="n">
        <v>0.1915</v>
      </c>
    </row>
    <row r="1179">
      <c r="A1179" t="inlineStr">
        <is>
          <t>ORD-11381</t>
        </is>
      </c>
      <c r="B1179" s="10" t="inlineStr">
        <is>
          <t>2025-02-17</t>
        </is>
      </c>
      <c r="C1179" t="inlineStr">
        <is>
          <t>Customer 34</t>
        </is>
      </c>
      <c r="D1179" t="inlineStr">
        <is>
          <t>East</t>
        </is>
      </c>
      <c r="E1179" t="inlineStr">
        <is>
          <t>Furniture</t>
        </is>
      </c>
      <c r="F1179" t="inlineStr">
        <is>
          <t>Chair</t>
        </is>
      </c>
      <c r="G1179" t="inlineStr">
        <is>
          <t>Second Class</t>
        </is>
      </c>
      <c r="H1179" t="n">
        <v>4</v>
      </c>
      <c r="I1179" s="11" t="n">
        <v>798.4299999999999</v>
      </c>
      <c r="J1179" s="12" t="n">
        <v>0.1</v>
      </c>
      <c r="K1179" s="11" t="n">
        <v>2874.35</v>
      </c>
      <c r="L1179" s="11" t="n">
        <v>448.84</v>
      </c>
      <c r="M1179" s="12" t="n">
        <v>0.1562</v>
      </c>
    </row>
    <row r="1180">
      <c r="A1180" t="inlineStr">
        <is>
          <t>ORD-10601</t>
        </is>
      </c>
      <c r="B1180" s="10" t="inlineStr">
        <is>
          <t>2025-02-17</t>
        </is>
      </c>
      <c r="C1180" t="inlineStr">
        <is>
          <t>Customer 140</t>
        </is>
      </c>
      <c r="D1180" t="inlineStr">
        <is>
          <t>South</t>
        </is>
      </c>
      <c r="E1180" t="inlineStr">
        <is>
          <t>Office Supplies</t>
        </is>
      </c>
      <c r="F1180" t="inlineStr">
        <is>
          <t>Binder</t>
        </is>
      </c>
      <c r="G1180" t="inlineStr">
        <is>
          <t>Standard Class</t>
        </is>
      </c>
      <c r="H1180" t="n">
        <v>4</v>
      </c>
      <c r="I1180" s="11" t="n">
        <v>1022.98</v>
      </c>
      <c r="J1180" s="12" t="n">
        <v>0</v>
      </c>
      <c r="K1180" s="11" t="n">
        <v>4091.92</v>
      </c>
      <c r="L1180" s="11" t="n">
        <v>1274.89</v>
      </c>
      <c r="M1180" s="12" t="n">
        <v>0.3116</v>
      </c>
    </row>
    <row r="1181">
      <c r="A1181" t="inlineStr">
        <is>
          <t>ORD-10320</t>
        </is>
      </c>
      <c r="B1181" s="10" t="inlineStr">
        <is>
          <t>2025-02-17</t>
        </is>
      </c>
      <c r="C1181" t="inlineStr">
        <is>
          <t>Customer 14</t>
        </is>
      </c>
      <c r="D1181" t="inlineStr">
        <is>
          <t>West</t>
        </is>
      </c>
      <c r="E1181" t="inlineStr">
        <is>
          <t>Office Supplies</t>
        </is>
      </c>
      <c r="F1181" t="inlineStr">
        <is>
          <t>Binder</t>
        </is>
      </c>
      <c r="G1181" t="inlineStr">
        <is>
          <t>Same Day</t>
        </is>
      </c>
      <c r="H1181" t="n">
        <v>7</v>
      </c>
      <c r="I1181" s="11" t="n">
        <v>499.02</v>
      </c>
      <c r="J1181" s="12" t="n">
        <v>0.15</v>
      </c>
      <c r="K1181" s="11" t="n">
        <v>2969.17</v>
      </c>
      <c r="L1181" s="11" t="n">
        <v>908.73</v>
      </c>
      <c r="M1181" s="12" t="n">
        <v>0.3061</v>
      </c>
    </row>
    <row r="1182">
      <c r="A1182" t="inlineStr">
        <is>
          <t>ORD-11256</t>
        </is>
      </c>
      <c r="B1182" s="10" t="inlineStr">
        <is>
          <t>2025-02-18</t>
        </is>
      </c>
      <c r="C1182" t="inlineStr">
        <is>
          <t>Customer 3</t>
        </is>
      </c>
      <c r="D1182" t="inlineStr">
        <is>
          <t>East</t>
        </is>
      </c>
      <c r="E1182" t="inlineStr">
        <is>
          <t>Technology</t>
        </is>
      </c>
      <c r="F1182" t="inlineStr">
        <is>
          <t>Wireless Mouse</t>
        </is>
      </c>
      <c r="G1182" t="inlineStr">
        <is>
          <t>Same Day</t>
        </is>
      </c>
      <c r="H1182" t="n">
        <v>1</v>
      </c>
      <c r="I1182" s="11" t="n">
        <v>443.22</v>
      </c>
      <c r="J1182" s="12" t="n">
        <v>0</v>
      </c>
      <c r="K1182" s="11" t="n">
        <v>443.22</v>
      </c>
      <c r="L1182" s="11" t="n">
        <v>93.23999999999999</v>
      </c>
      <c r="M1182" s="12" t="n">
        <v>0.2104</v>
      </c>
    </row>
    <row r="1183">
      <c r="A1183" t="inlineStr">
        <is>
          <t>ORD-11388</t>
        </is>
      </c>
      <c r="B1183" s="10" t="inlineStr">
        <is>
          <t>2025-02-18</t>
        </is>
      </c>
      <c r="C1183" t="inlineStr">
        <is>
          <t>Customer 116</t>
        </is>
      </c>
      <c r="D1183" t="inlineStr">
        <is>
          <t>East</t>
        </is>
      </c>
      <c r="E1183" t="inlineStr">
        <is>
          <t>Furniture</t>
        </is>
      </c>
      <c r="F1183" t="inlineStr">
        <is>
          <t>Chair</t>
        </is>
      </c>
      <c r="G1183" t="inlineStr">
        <is>
          <t>Same Day</t>
        </is>
      </c>
      <c r="H1183" t="n">
        <v>2</v>
      </c>
      <c r="I1183" s="11" t="n">
        <v>744.23</v>
      </c>
      <c r="J1183" s="12" t="n">
        <v>0.15</v>
      </c>
      <c r="K1183" s="11" t="n">
        <v>1265.19</v>
      </c>
      <c r="L1183" s="11" t="n">
        <v>203.59</v>
      </c>
      <c r="M1183" s="12" t="n">
        <v>0.1609</v>
      </c>
    </row>
    <row r="1184">
      <c r="A1184" t="inlineStr">
        <is>
          <t>ORD-11930</t>
        </is>
      </c>
      <c r="B1184" s="10" t="inlineStr">
        <is>
          <t>2025-02-19</t>
        </is>
      </c>
      <c r="C1184" t="inlineStr">
        <is>
          <t>Customer 44</t>
        </is>
      </c>
      <c r="D1184" t="inlineStr">
        <is>
          <t>South</t>
        </is>
      </c>
      <c r="E1184" t="inlineStr">
        <is>
          <t>Furniture</t>
        </is>
      </c>
      <c r="F1184" t="inlineStr">
        <is>
          <t>Desk</t>
        </is>
      </c>
      <c r="G1184" t="inlineStr">
        <is>
          <t>Second Class</t>
        </is>
      </c>
      <c r="H1184" t="n">
        <v>8</v>
      </c>
      <c r="I1184" s="11" t="n">
        <v>622.11</v>
      </c>
      <c r="J1184" s="12" t="n">
        <v>0</v>
      </c>
      <c r="K1184" s="11" t="n">
        <v>4976.88</v>
      </c>
      <c r="L1184" s="11" t="n">
        <v>1998.08</v>
      </c>
      <c r="M1184" s="12" t="n">
        <v>0.4015</v>
      </c>
    </row>
    <row r="1185">
      <c r="A1185" t="inlineStr">
        <is>
          <t>ORD-10104</t>
        </is>
      </c>
      <c r="B1185" s="10" t="inlineStr">
        <is>
          <t>2025-02-19</t>
        </is>
      </c>
      <c r="C1185" t="inlineStr">
        <is>
          <t>Customer 183</t>
        </is>
      </c>
      <c r="D1185" t="inlineStr">
        <is>
          <t>South</t>
        </is>
      </c>
      <c r="E1185" t="inlineStr">
        <is>
          <t>Technology</t>
        </is>
      </c>
      <c r="F1185" t="inlineStr">
        <is>
          <t>Laptop</t>
        </is>
      </c>
      <c r="G1185" t="inlineStr">
        <is>
          <t>Same Day</t>
        </is>
      </c>
      <c r="H1185" t="n">
        <v>1</v>
      </c>
      <c r="I1185" s="11" t="n">
        <v>710.28</v>
      </c>
      <c r="J1185" s="12" t="n">
        <v>0.15</v>
      </c>
      <c r="K1185" s="11" t="n">
        <v>603.74</v>
      </c>
      <c r="L1185" s="11" t="n">
        <v>247.42</v>
      </c>
      <c r="M1185" s="12" t="n">
        <v>0.4098</v>
      </c>
    </row>
    <row r="1186">
      <c r="A1186" t="inlineStr">
        <is>
          <t>ORD-11177</t>
        </is>
      </c>
      <c r="B1186" s="10" t="inlineStr">
        <is>
          <t>2025-02-19</t>
        </is>
      </c>
      <c r="C1186" t="inlineStr">
        <is>
          <t>Customer 87</t>
        </is>
      </c>
      <c r="D1186" t="inlineStr">
        <is>
          <t>North</t>
        </is>
      </c>
      <c r="E1186" t="inlineStr">
        <is>
          <t>Office Supplies</t>
        </is>
      </c>
      <c r="F1186" t="inlineStr">
        <is>
          <t>Stapler</t>
        </is>
      </c>
      <c r="G1186" t="inlineStr">
        <is>
          <t>Second Class</t>
        </is>
      </c>
      <c r="H1186" t="n">
        <v>7</v>
      </c>
      <c r="I1186" s="11" t="n">
        <v>652.03</v>
      </c>
      <c r="J1186" s="12" t="n">
        <v>0</v>
      </c>
      <c r="K1186" s="11" t="n">
        <v>4564.21</v>
      </c>
      <c r="L1186" s="11" t="n">
        <v>1822.3</v>
      </c>
      <c r="M1186" s="12" t="n">
        <v>0.3993</v>
      </c>
    </row>
    <row r="1187">
      <c r="A1187" t="inlineStr">
        <is>
          <t>ORD-10477</t>
        </is>
      </c>
      <c r="B1187" s="10" t="inlineStr">
        <is>
          <t>2025-02-19</t>
        </is>
      </c>
      <c r="C1187" t="inlineStr">
        <is>
          <t>Customer 140</t>
        </is>
      </c>
      <c r="D1187" t="inlineStr">
        <is>
          <t>South</t>
        </is>
      </c>
      <c r="E1187" t="inlineStr">
        <is>
          <t>Technology</t>
        </is>
      </c>
      <c r="F1187" t="inlineStr">
        <is>
          <t>Wireless Mouse</t>
        </is>
      </c>
      <c r="G1187" t="inlineStr">
        <is>
          <t>First Class</t>
        </is>
      </c>
      <c r="H1187" t="n">
        <v>5</v>
      </c>
      <c r="I1187" s="11" t="n">
        <v>668.24</v>
      </c>
      <c r="J1187" s="12" t="n">
        <v>0</v>
      </c>
      <c r="K1187" s="11" t="n">
        <v>3341.2</v>
      </c>
      <c r="L1187" s="11" t="n">
        <v>1490.15</v>
      </c>
      <c r="M1187" s="12" t="n">
        <v>0.446</v>
      </c>
    </row>
    <row r="1188">
      <c r="A1188" t="inlineStr">
        <is>
          <t>ORD-10846</t>
        </is>
      </c>
      <c r="B1188" s="10" t="inlineStr">
        <is>
          <t>2025-02-19</t>
        </is>
      </c>
      <c r="C1188" t="inlineStr">
        <is>
          <t>Customer 123</t>
        </is>
      </c>
      <c r="D1188" t="inlineStr">
        <is>
          <t>East</t>
        </is>
      </c>
      <c r="E1188" t="inlineStr">
        <is>
          <t>Technology</t>
        </is>
      </c>
      <c r="F1188" t="inlineStr">
        <is>
          <t>Laptop</t>
        </is>
      </c>
      <c r="G1188" t="inlineStr">
        <is>
          <t>First Class</t>
        </is>
      </c>
      <c r="H1188" t="n">
        <v>11</v>
      </c>
      <c r="I1188" s="11" t="n">
        <v>762.16</v>
      </c>
      <c r="J1188" s="12" t="n">
        <v>0.2</v>
      </c>
      <c r="K1188" s="11" t="n">
        <v>6707.01</v>
      </c>
      <c r="L1188" s="11" t="n">
        <v>1301.14</v>
      </c>
      <c r="M1188" s="12" t="n">
        <v>0.194</v>
      </c>
    </row>
    <row r="1189">
      <c r="A1189" t="inlineStr">
        <is>
          <t>ORD-11294</t>
        </is>
      </c>
      <c r="B1189" s="10" t="inlineStr">
        <is>
          <t>2025-02-19</t>
        </is>
      </c>
      <c r="C1189" t="inlineStr">
        <is>
          <t>Customer 167</t>
        </is>
      </c>
      <c r="D1189" t="inlineStr">
        <is>
          <t>South</t>
        </is>
      </c>
      <c r="E1189" t="inlineStr">
        <is>
          <t>Technology</t>
        </is>
      </c>
      <c r="F1189" t="inlineStr">
        <is>
          <t>Monitor</t>
        </is>
      </c>
      <c r="G1189" t="inlineStr">
        <is>
          <t>Second Class</t>
        </is>
      </c>
      <c r="H1189" t="n">
        <v>4</v>
      </c>
      <c r="I1189" s="11" t="n">
        <v>292.11</v>
      </c>
      <c r="J1189" s="12" t="n">
        <v>0.2</v>
      </c>
      <c r="K1189" s="11" t="n">
        <v>934.75</v>
      </c>
      <c r="L1189" s="11" t="n">
        <v>-1.24</v>
      </c>
      <c r="M1189" s="12" t="n">
        <v>-0.0013</v>
      </c>
    </row>
    <row r="1190">
      <c r="A1190" t="inlineStr">
        <is>
          <t>ORD-10877</t>
        </is>
      </c>
      <c r="B1190" s="10" t="inlineStr">
        <is>
          <t>2025-02-20</t>
        </is>
      </c>
      <c r="C1190" t="inlineStr">
        <is>
          <t>Customer 7</t>
        </is>
      </c>
      <c r="D1190" t="inlineStr">
        <is>
          <t>North</t>
        </is>
      </c>
      <c r="E1190" t="inlineStr">
        <is>
          <t>Office Supplies</t>
        </is>
      </c>
      <c r="F1190" t="inlineStr">
        <is>
          <t>Paper</t>
        </is>
      </c>
      <c r="G1190" t="inlineStr">
        <is>
          <t>Same Day</t>
        </is>
      </c>
      <c r="H1190" t="n">
        <v>7</v>
      </c>
      <c r="I1190" s="11" t="n">
        <v>625.65</v>
      </c>
      <c r="J1190" s="12" t="n">
        <v>0.2</v>
      </c>
      <c r="K1190" s="11" t="n">
        <v>3503.64</v>
      </c>
      <c r="L1190" s="11" t="n">
        <v>302.82</v>
      </c>
      <c r="M1190" s="12" t="n">
        <v>0.0864</v>
      </c>
    </row>
    <row r="1191">
      <c r="A1191" t="inlineStr">
        <is>
          <t>ORD-10524</t>
        </is>
      </c>
      <c r="B1191" s="10" t="inlineStr">
        <is>
          <t>2025-02-20</t>
        </is>
      </c>
      <c r="C1191" t="inlineStr">
        <is>
          <t>Customer 191</t>
        </is>
      </c>
      <c r="D1191" t="inlineStr">
        <is>
          <t>East</t>
        </is>
      </c>
      <c r="E1191" t="inlineStr">
        <is>
          <t>Office Supplies</t>
        </is>
      </c>
      <c r="F1191" t="inlineStr">
        <is>
          <t>Binder</t>
        </is>
      </c>
      <c r="G1191" t="inlineStr">
        <is>
          <t>First Class</t>
        </is>
      </c>
      <c r="H1191" t="n">
        <v>11</v>
      </c>
      <c r="I1191" s="11" t="n">
        <v>5.77</v>
      </c>
      <c r="J1191" s="12" t="n">
        <v>0</v>
      </c>
      <c r="K1191" s="11" t="n">
        <v>63.47</v>
      </c>
      <c r="L1191" s="11" t="n">
        <v>15.78</v>
      </c>
      <c r="M1191" s="12" t="n">
        <v>0.2486</v>
      </c>
    </row>
    <row r="1192">
      <c r="A1192" t="inlineStr">
        <is>
          <t>ORD-11680</t>
        </is>
      </c>
      <c r="B1192" s="10" t="inlineStr">
        <is>
          <t>2025-02-20</t>
        </is>
      </c>
      <c r="C1192" t="inlineStr">
        <is>
          <t>Customer 102</t>
        </is>
      </c>
      <c r="D1192" t="inlineStr">
        <is>
          <t>North</t>
        </is>
      </c>
      <c r="E1192" t="inlineStr">
        <is>
          <t>Office Supplies</t>
        </is>
      </c>
      <c r="F1192" t="inlineStr">
        <is>
          <t>Pens (Box)</t>
        </is>
      </c>
      <c r="G1192" t="inlineStr">
        <is>
          <t>First Class</t>
        </is>
      </c>
      <c r="H1192" t="n">
        <v>3</v>
      </c>
      <c r="I1192" s="11" t="n">
        <v>622.52</v>
      </c>
      <c r="J1192" s="12" t="n">
        <v>0</v>
      </c>
      <c r="K1192" s="11" t="n">
        <v>1867.56</v>
      </c>
      <c r="L1192" s="11" t="n">
        <v>844.66</v>
      </c>
      <c r="M1192" s="12" t="n">
        <v>0.4523</v>
      </c>
    </row>
    <row r="1193">
      <c r="A1193" t="inlineStr">
        <is>
          <t>ORD-10740</t>
        </is>
      </c>
      <c r="B1193" s="10" t="inlineStr">
        <is>
          <t>2025-02-21</t>
        </is>
      </c>
      <c r="C1193" t="inlineStr">
        <is>
          <t>Customer 128</t>
        </is>
      </c>
      <c r="D1193" t="inlineStr">
        <is>
          <t>West</t>
        </is>
      </c>
      <c r="E1193" t="inlineStr">
        <is>
          <t>Furniture</t>
        </is>
      </c>
      <c r="F1193" t="inlineStr">
        <is>
          <t>Bookcase</t>
        </is>
      </c>
      <c r="G1193" t="inlineStr">
        <is>
          <t>Standard Class</t>
        </is>
      </c>
      <c r="H1193" t="n">
        <v>11</v>
      </c>
      <c r="I1193" s="11" t="n">
        <v>1055.92</v>
      </c>
      <c r="J1193" s="12" t="n">
        <v>0</v>
      </c>
      <c r="K1193" s="11" t="n">
        <v>11615.12</v>
      </c>
      <c r="L1193" s="11" t="n">
        <v>3033.04</v>
      </c>
      <c r="M1193" s="12" t="n">
        <v>0.2611</v>
      </c>
    </row>
    <row r="1194">
      <c r="A1194" t="inlineStr">
        <is>
          <t>ORD-11078</t>
        </is>
      </c>
      <c r="B1194" s="10" t="inlineStr">
        <is>
          <t>2025-02-21</t>
        </is>
      </c>
      <c r="C1194" t="inlineStr">
        <is>
          <t>Customer 65</t>
        </is>
      </c>
      <c r="D1194" t="inlineStr">
        <is>
          <t>South</t>
        </is>
      </c>
      <c r="E1194" t="inlineStr">
        <is>
          <t>Office Supplies</t>
        </is>
      </c>
      <c r="F1194" t="inlineStr">
        <is>
          <t>Binder</t>
        </is>
      </c>
      <c r="G1194" t="inlineStr">
        <is>
          <t>First Class</t>
        </is>
      </c>
      <c r="H1194" t="n">
        <v>10</v>
      </c>
      <c r="I1194" s="11" t="n">
        <v>79.45</v>
      </c>
      <c r="J1194" s="12" t="n">
        <v>0</v>
      </c>
      <c r="K1194" s="11" t="n">
        <v>794.5</v>
      </c>
      <c r="L1194" s="11" t="n">
        <v>384.8</v>
      </c>
      <c r="M1194" s="12" t="n">
        <v>0.4843</v>
      </c>
    </row>
    <row r="1195">
      <c r="A1195" t="inlineStr">
        <is>
          <t>ORD-11059</t>
        </is>
      </c>
      <c r="B1195" s="10" t="inlineStr">
        <is>
          <t>2025-02-21</t>
        </is>
      </c>
      <c r="C1195" t="inlineStr">
        <is>
          <t>Customer 8</t>
        </is>
      </c>
      <c r="D1195" t="inlineStr">
        <is>
          <t>East</t>
        </is>
      </c>
      <c r="E1195" t="inlineStr">
        <is>
          <t>Furniture</t>
        </is>
      </c>
      <c r="F1195" t="inlineStr">
        <is>
          <t>Table Lamp</t>
        </is>
      </c>
      <c r="G1195" t="inlineStr">
        <is>
          <t>Second Class</t>
        </is>
      </c>
      <c r="H1195" t="n">
        <v>9</v>
      </c>
      <c r="I1195" s="11" t="n">
        <v>847.67</v>
      </c>
      <c r="J1195" s="12" t="n">
        <v>0.3</v>
      </c>
      <c r="K1195" s="11" t="n">
        <v>5340.32</v>
      </c>
      <c r="L1195" s="11" t="n">
        <v>-1052.45</v>
      </c>
      <c r="M1195" s="12" t="n">
        <v>-0.1971</v>
      </c>
    </row>
    <row r="1196">
      <c r="A1196" t="inlineStr">
        <is>
          <t>ORD-11139</t>
        </is>
      </c>
      <c r="B1196" s="10" t="inlineStr">
        <is>
          <t>2025-02-21</t>
        </is>
      </c>
      <c r="C1196" t="inlineStr">
        <is>
          <t>Customer 177</t>
        </is>
      </c>
      <c r="D1196" t="inlineStr">
        <is>
          <t>East</t>
        </is>
      </c>
      <c r="E1196" t="inlineStr">
        <is>
          <t>Technology</t>
        </is>
      </c>
      <c r="F1196" t="inlineStr">
        <is>
          <t>Printer</t>
        </is>
      </c>
      <c r="G1196" t="inlineStr">
        <is>
          <t>Second Class</t>
        </is>
      </c>
      <c r="H1196" t="n">
        <v>8</v>
      </c>
      <c r="I1196" s="11" t="n">
        <v>33.74</v>
      </c>
      <c r="J1196" s="12" t="n">
        <v>0</v>
      </c>
      <c r="K1196" s="11" t="n">
        <v>269.92</v>
      </c>
      <c r="L1196" s="11" t="n">
        <v>65.77</v>
      </c>
      <c r="M1196" s="12" t="n">
        <v>0.2437</v>
      </c>
    </row>
    <row r="1197">
      <c r="A1197" t="inlineStr">
        <is>
          <t>ORD-11936</t>
        </is>
      </c>
      <c r="B1197" s="10" t="inlineStr">
        <is>
          <t>2025-02-22</t>
        </is>
      </c>
      <c r="C1197" t="inlineStr">
        <is>
          <t>Customer 140</t>
        </is>
      </c>
      <c r="D1197" t="inlineStr">
        <is>
          <t>South</t>
        </is>
      </c>
      <c r="E1197" t="inlineStr">
        <is>
          <t>Office Supplies</t>
        </is>
      </c>
      <c r="F1197" t="inlineStr">
        <is>
          <t>Paper</t>
        </is>
      </c>
      <c r="G1197" t="inlineStr">
        <is>
          <t>Standard Class</t>
        </is>
      </c>
      <c r="H1197" t="n">
        <v>6</v>
      </c>
      <c r="I1197" s="11" t="n">
        <v>1175.41</v>
      </c>
      <c r="J1197" s="12" t="n">
        <v>0</v>
      </c>
      <c r="K1197" s="11" t="n">
        <v>7052.46</v>
      </c>
      <c r="L1197" s="11" t="n">
        <v>3439.97</v>
      </c>
      <c r="M1197" s="12" t="n">
        <v>0.4878</v>
      </c>
    </row>
    <row r="1198">
      <c r="A1198" t="inlineStr">
        <is>
          <t>ORD-10442</t>
        </is>
      </c>
      <c r="B1198" s="10" t="inlineStr">
        <is>
          <t>2025-02-22</t>
        </is>
      </c>
      <c r="C1198" t="inlineStr">
        <is>
          <t>Customer 191</t>
        </is>
      </c>
      <c r="D1198" t="inlineStr">
        <is>
          <t>East</t>
        </is>
      </c>
      <c r="E1198" t="inlineStr">
        <is>
          <t>Office Supplies</t>
        </is>
      </c>
      <c r="F1198" t="inlineStr">
        <is>
          <t>Binder</t>
        </is>
      </c>
      <c r="G1198" t="inlineStr">
        <is>
          <t>Standard Class</t>
        </is>
      </c>
      <c r="H1198" t="n">
        <v>2</v>
      </c>
      <c r="I1198" s="11" t="n">
        <v>224.07</v>
      </c>
      <c r="J1198" s="12" t="n">
        <v>0</v>
      </c>
      <c r="K1198" s="11" t="n">
        <v>448.14</v>
      </c>
      <c r="L1198" s="11" t="n">
        <v>121.99</v>
      </c>
      <c r="M1198" s="12" t="n">
        <v>0.2722</v>
      </c>
    </row>
    <row r="1199">
      <c r="A1199" t="inlineStr">
        <is>
          <t>ORD-10702</t>
        </is>
      </c>
      <c r="B1199" s="10" t="inlineStr">
        <is>
          <t>2025-02-23</t>
        </is>
      </c>
      <c r="C1199" t="inlineStr">
        <is>
          <t>Customer 121</t>
        </is>
      </c>
      <c r="D1199" t="inlineStr">
        <is>
          <t>South</t>
        </is>
      </c>
      <c r="E1199" t="inlineStr">
        <is>
          <t>Furniture</t>
        </is>
      </c>
      <c r="F1199" t="inlineStr">
        <is>
          <t>Chair</t>
        </is>
      </c>
      <c r="G1199" t="inlineStr">
        <is>
          <t>Second Class</t>
        </is>
      </c>
      <c r="H1199" t="n">
        <v>11</v>
      </c>
      <c r="I1199" s="11" t="n">
        <v>191.03</v>
      </c>
      <c r="J1199" s="12" t="n">
        <v>0.1</v>
      </c>
      <c r="K1199" s="11" t="n">
        <v>1891.2</v>
      </c>
      <c r="L1199" s="11" t="n">
        <v>166.53</v>
      </c>
      <c r="M1199" s="12" t="n">
        <v>0.0881</v>
      </c>
    </row>
    <row r="1200">
      <c r="A1200" t="inlineStr">
        <is>
          <t>ORD-10976</t>
        </is>
      </c>
      <c r="B1200" s="10" t="inlineStr">
        <is>
          <t>2025-02-23</t>
        </is>
      </c>
      <c r="C1200" t="inlineStr">
        <is>
          <t>Customer 50</t>
        </is>
      </c>
      <c r="D1200" t="inlineStr">
        <is>
          <t>West</t>
        </is>
      </c>
      <c r="E1200" t="inlineStr">
        <is>
          <t>Office Supplies</t>
        </is>
      </c>
      <c r="F1200" t="inlineStr">
        <is>
          <t>Pens (Box)</t>
        </is>
      </c>
      <c r="G1200" t="inlineStr">
        <is>
          <t>Same Day</t>
        </is>
      </c>
      <c r="H1200" t="n">
        <v>3</v>
      </c>
      <c r="I1200" s="11" t="n">
        <v>596.4</v>
      </c>
      <c r="J1200" s="12" t="n">
        <v>0.2</v>
      </c>
      <c r="K1200" s="11" t="n">
        <v>1431.36</v>
      </c>
      <c r="L1200" s="11" t="n">
        <v>12</v>
      </c>
      <c r="M1200" s="12" t="n">
        <v>0.008399999999999999</v>
      </c>
    </row>
    <row r="1201">
      <c r="A1201" t="inlineStr">
        <is>
          <t>ORD-10541</t>
        </is>
      </c>
      <c r="B1201" s="10" t="inlineStr">
        <is>
          <t>2025-02-23</t>
        </is>
      </c>
      <c r="C1201" t="inlineStr">
        <is>
          <t>Customer 35</t>
        </is>
      </c>
      <c r="D1201" t="inlineStr">
        <is>
          <t>West</t>
        </is>
      </c>
      <c r="E1201" t="inlineStr">
        <is>
          <t>Technology</t>
        </is>
      </c>
      <c r="F1201" t="inlineStr">
        <is>
          <t>Monitor</t>
        </is>
      </c>
      <c r="G1201" t="inlineStr">
        <is>
          <t>Second Class</t>
        </is>
      </c>
      <c r="H1201" t="n">
        <v>4</v>
      </c>
      <c r="I1201" s="11" t="n">
        <v>739.95</v>
      </c>
      <c r="J1201" s="12" t="n">
        <v>0.15</v>
      </c>
      <c r="K1201" s="11" t="n">
        <v>2515.83</v>
      </c>
      <c r="L1201" s="11" t="n">
        <v>411.72</v>
      </c>
      <c r="M1201" s="12" t="n">
        <v>0.1637</v>
      </c>
    </row>
    <row r="1202">
      <c r="A1202" t="inlineStr">
        <is>
          <t>ORD-10824</t>
        </is>
      </c>
      <c r="B1202" s="10" t="inlineStr">
        <is>
          <t>2025-02-23</t>
        </is>
      </c>
      <c r="C1202" t="inlineStr">
        <is>
          <t>Customer 191</t>
        </is>
      </c>
      <c r="D1202" t="inlineStr">
        <is>
          <t>East</t>
        </is>
      </c>
      <c r="E1202" t="inlineStr">
        <is>
          <t>Furniture</t>
        </is>
      </c>
      <c r="F1202" t="inlineStr">
        <is>
          <t>Chair</t>
        </is>
      </c>
      <c r="G1202" t="inlineStr">
        <is>
          <t>First Class</t>
        </is>
      </c>
      <c r="H1202" t="n">
        <v>1</v>
      </c>
      <c r="I1202" s="11" t="n">
        <v>898.27</v>
      </c>
      <c r="J1202" s="12" t="n">
        <v>0</v>
      </c>
      <c r="K1202" s="11" t="n">
        <v>898.27</v>
      </c>
      <c r="L1202" s="11" t="n">
        <v>156.23</v>
      </c>
      <c r="M1202" s="12" t="n">
        <v>0.1739</v>
      </c>
    </row>
    <row r="1203">
      <c r="A1203" t="inlineStr">
        <is>
          <t>ORD-11039</t>
        </is>
      </c>
      <c r="B1203" s="10" t="inlineStr">
        <is>
          <t>2025-02-25</t>
        </is>
      </c>
      <c r="C1203" t="inlineStr">
        <is>
          <t>Customer 6</t>
        </is>
      </c>
      <c r="D1203" t="inlineStr">
        <is>
          <t>West</t>
        </is>
      </c>
      <c r="E1203" t="inlineStr">
        <is>
          <t>Technology</t>
        </is>
      </c>
      <c r="F1203" t="inlineStr">
        <is>
          <t>Printer</t>
        </is>
      </c>
      <c r="G1203" t="inlineStr">
        <is>
          <t>Second Class</t>
        </is>
      </c>
      <c r="H1203" t="n">
        <v>3</v>
      </c>
      <c r="I1203" s="11" t="n">
        <v>1144.43</v>
      </c>
      <c r="J1203" s="12" t="n">
        <v>0.3</v>
      </c>
      <c r="K1203" s="11" t="n">
        <v>2403.3</v>
      </c>
      <c r="L1203" s="11" t="n">
        <v>240.92</v>
      </c>
      <c r="M1203" s="12" t="n">
        <v>0.1002</v>
      </c>
    </row>
    <row r="1204">
      <c r="A1204" t="inlineStr">
        <is>
          <t>ORD-11813</t>
        </is>
      </c>
      <c r="B1204" s="10" t="inlineStr">
        <is>
          <t>2025-02-25</t>
        </is>
      </c>
      <c r="C1204" t="inlineStr">
        <is>
          <t>Customer 101</t>
        </is>
      </c>
      <c r="D1204" t="inlineStr">
        <is>
          <t>West</t>
        </is>
      </c>
      <c r="E1204" t="inlineStr">
        <is>
          <t>Furniture</t>
        </is>
      </c>
      <c r="F1204" t="inlineStr">
        <is>
          <t>Bookcase</t>
        </is>
      </c>
      <c r="G1204" t="inlineStr">
        <is>
          <t>Same Day</t>
        </is>
      </c>
      <c r="H1204" t="n">
        <v>7</v>
      </c>
      <c r="I1204" s="11" t="n">
        <v>712.01</v>
      </c>
      <c r="J1204" s="12" t="n">
        <v>0.15</v>
      </c>
      <c r="K1204" s="11" t="n">
        <v>4236.46</v>
      </c>
      <c r="L1204" s="11" t="n">
        <v>711.26</v>
      </c>
      <c r="M1204" s="12" t="n">
        <v>0.1679</v>
      </c>
    </row>
    <row r="1205">
      <c r="A1205" t="inlineStr">
        <is>
          <t>ORD-11798</t>
        </is>
      </c>
      <c r="B1205" s="10" t="inlineStr">
        <is>
          <t>2025-02-25</t>
        </is>
      </c>
      <c r="C1205" t="inlineStr">
        <is>
          <t>Customer 98</t>
        </is>
      </c>
      <c r="D1205" t="inlineStr">
        <is>
          <t>East</t>
        </is>
      </c>
      <c r="E1205" t="inlineStr">
        <is>
          <t>Furniture</t>
        </is>
      </c>
      <c r="F1205" t="inlineStr">
        <is>
          <t>Bookcase</t>
        </is>
      </c>
      <c r="G1205" t="inlineStr">
        <is>
          <t>First Class</t>
        </is>
      </c>
      <c r="H1205" t="n">
        <v>11</v>
      </c>
      <c r="I1205" s="11" t="n">
        <v>840.63</v>
      </c>
      <c r="J1205" s="12" t="n">
        <v>0</v>
      </c>
      <c r="K1205" s="11" t="n">
        <v>9246.93</v>
      </c>
      <c r="L1205" s="11" t="n">
        <v>4597.12</v>
      </c>
      <c r="M1205" s="12" t="n">
        <v>0.4972</v>
      </c>
    </row>
    <row r="1206">
      <c r="A1206" t="inlineStr">
        <is>
          <t>ORD-11422</t>
        </is>
      </c>
      <c r="B1206" s="10" t="inlineStr">
        <is>
          <t>2025-02-26</t>
        </is>
      </c>
      <c r="C1206" t="inlineStr">
        <is>
          <t>Customer 69</t>
        </is>
      </c>
      <c r="D1206" t="inlineStr">
        <is>
          <t>North</t>
        </is>
      </c>
      <c r="E1206" t="inlineStr">
        <is>
          <t>Office Supplies</t>
        </is>
      </c>
      <c r="F1206" t="inlineStr">
        <is>
          <t>Stapler</t>
        </is>
      </c>
      <c r="G1206" t="inlineStr">
        <is>
          <t>Same Day</t>
        </is>
      </c>
      <c r="H1206" t="n">
        <v>1</v>
      </c>
      <c r="I1206" s="11" t="n">
        <v>377.89</v>
      </c>
      <c r="J1206" s="12" t="n">
        <v>0</v>
      </c>
      <c r="K1206" s="11" t="n">
        <v>377.89</v>
      </c>
      <c r="L1206" s="11" t="n">
        <v>188.39</v>
      </c>
      <c r="M1206" s="12" t="n">
        <v>0.4985</v>
      </c>
    </row>
    <row r="1207">
      <c r="A1207" t="inlineStr">
        <is>
          <t>ORD-10233</t>
        </is>
      </c>
      <c r="B1207" s="10" t="inlineStr">
        <is>
          <t>2025-02-26</t>
        </is>
      </c>
      <c r="C1207" t="inlineStr">
        <is>
          <t>Customer 5</t>
        </is>
      </c>
      <c r="D1207" t="inlineStr">
        <is>
          <t>South</t>
        </is>
      </c>
      <c r="E1207" t="inlineStr">
        <is>
          <t>Technology</t>
        </is>
      </c>
      <c r="F1207" t="inlineStr">
        <is>
          <t>Wireless Mouse</t>
        </is>
      </c>
      <c r="G1207" t="inlineStr">
        <is>
          <t>First Class</t>
        </is>
      </c>
      <c r="H1207" t="n">
        <v>5</v>
      </c>
      <c r="I1207" s="11" t="n">
        <v>307.38</v>
      </c>
      <c r="J1207" s="12" t="n">
        <v>0.1</v>
      </c>
      <c r="K1207" s="11" t="n">
        <v>1383.21</v>
      </c>
      <c r="L1207" s="11" t="n">
        <v>199.57</v>
      </c>
      <c r="M1207" s="12" t="n">
        <v>0.1443</v>
      </c>
    </row>
    <row r="1208">
      <c r="A1208" t="inlineStr">
        <is>
          <t>ORD-10497</t>
        </is>
      </c>
      <c r="B1208" s="10" t="inlineStr">
        <is>
          <t>2025-02-26</t>
        </is>
      </c>
      <c r="C1208" t="inlineStr">
        <is>
          <t>Customer 60</t>
        </is>
      </c>
      <c r="D1208" t="inlineStr">
        <is>
          <t>East</t>
        </is>
      </c>
      <c r="E1208" t="inlineStr">
        <is>
          <t>Technology</t>
        </is>
      </c>
      <c r="F1208" t="inlineStr">
        <is>
          <t>Laptop</t>
        </is>
      </c>
      <c r="G1208" t="inlineStr">
        <is>
          <t>Standard Class</t>
        </is>
      </c>
      <c r="H1208" t="n">
        <v>10</v>
      </c>
      <c r="I1208" s="11" t="n">
        <v>490.77</v>
      </c>
      <c r="J1208" s="12" t="n">
        <v>0.15</v>
      </c>
      <c r="K1208" s="11" t="n">
        <v>4171.55</v>
      </c>
      <c r="L1208" s="11" t="n">
        <v>847.73</v>
      </c>
      <c r="M1208" s="12" t="n">
        <v>0.2032</v>
      </c>
    </row>
    <row r="1209">
      <c r="A1209" t="inlineStr">
        <is>
          <t>ORD-10854</t>
        </is>
      </c>
      <c r="B1209" s="10" t="inlineStr">
        <is>
          <t>2025-02-27</t>
        </is>
      </c>
      <c r="C1209" t="inlineStr">
        <is>
          <t>Customer 1</t>
        </is>
      </c>
      <c r="D1209" t="inlineStr">
        <is>
          <t>North</t>
        </is>
      </c>
      <c r="E1209" t="inlineStr">
        <is>
          <t>Office Supplies</t>
        </is>
      </c>
      <c r="F1209" t="inlineStr">
        <is>
          <t>Paper</t>
        </is>
      </c>
      <c r="G1209" t="inlineStr">
        <is>
          <t>Same Day</t>
        </is>
      </c>
      <c r="H1209" t="n">
        <v>9</v>
      </c>
      <c r="I1209" s="11" t="n">
        <v>102.11</v>
      </c>
      <c r="J1209" s="12" t="n">
        <v>0</v>
      </c>
      <c r="K1209" s="11" t="n">
        <v>918.99</v>
      </c>
      <c r="L1209" s="11" t="n">
        <v>400.72</v>
      </c>
      <c r="M1209" s="12" t="n">
        <v>0.436</v>
      </c>
    </row>
    <row r="1210">
      <c r="A1210" t="inlineStr">
        <is>
          <t>ORD-10598</t>
        </is>
      </c>
      <c r="B1210" s="10" t="inlineStr">
        <is>
          <t>2025-02-28</t>
        </is>
      </c>
      <c r="C1210" t="inlineStr">
        <is>
          <t>Customer 85</t>
        </is>
      </c>
      <c r="D1210" t="inlineStr">
        <is>
          <t>East</t>
        </is>
      </c>
      <c r="E1210" t="inlineStr">
        <is>
          <t>Technology</t>
        </is>
      </c>
      <c r="F1210" t="inlineStr">
        <is>
          <t>Monitor</t>
        </is>
      </c>
      <c r="G1210" t="inlineStr">
        <is>
          <t>Standard Class</t>
        </is>
      </c>
      <c r="H1210" t="n">
        <v>1</v>
      </c>
      <c r="I1210" s="11" t="n">
        <v>284.9</v>
      </c>
      <c r="J1210" s="12" t="n">
        <v>0</v>
      </c>
      <c r="K1210" s="11" t="n">
        <v>284.9</v>
      </c>
      <c r="L1210" s="11" t="n">
        <v>135.29</v>
      </c>
      <c r="M1210" s="12" t="n">
        <v>0.4749</v>
      </c>
    </row>
    <row r="1211">
      <c r="A1211" t="inlineStr">
        <is>
          <t>ORD-10362</t>
        </is>
      </c>
      <c r="B1211" s="10" t="inlineStr">
        <is>
          <t>2025-03-01</t>
        </is>
      </c>
      <c r="C1211" t="inlineStr">
        <is>
          <t>Customer 16</t>
        </is>
      </c>
      <c r="D1211" t="inlineStr">
        <is>
          <t>West</t>
        </is>
      </c>
      <c r="E1211" t="inlineStr">
        <is>
          <t>Technology</t>
        </is>
      </c>
      <c r="F1211" t="inlineStr">
        <is>
          <t>Monitor</t>
        </is>
      </c>
      <c r="G1211" t="inlineStr">
        <is>
          <t>First Class</t>
        </is>
      </c>
      <c r="H1211" t="n">
        <v>10</v>
      </c>
      <c r="I1211" s="11" t="n">
        <v>704.3</v>
      </c>
      <c r="J1211" s="12" t="n">
        <v>0.1</v>
      </c>
      <c r="K1211" s="11" t="n">
        <v>6338.7</v>
      </c>
      <c r="L1211" s="11" t="n">
        <v>1041.83</v>
      </c>
      <c r="M1211" s="12" t="n">
        <v>0.1644</v>
      </c>
    </row>
    <row r="1212">
      <c r="A1212" t="inlineStr">
        <is>
          <t>ORD-10800</t>
        </is>
      </c>
      <c r="B1212" s="10" t="inlineStr">
        <is>
          <t>2025-03-01</t>
        </is>
      </c>
      <c r="C1212" t="inlineStr">
        <is>
          <t>Customer 113</t>
        </is>
      </c>
      <c r="D1212" t="inlineStr">
        <is>
          <t>East</t>
        </is>
      </c>
      <c r="E1212" t="inlineStr">
        <is>
          <t>Office Supplies</t>
        </is>
      </c>
      <c r="F1212" t="inlineStr">
        <is>
          <t>Pens (Box)</t>
        </is>
      </c>
      <c r="G1212" t="inlineStr">
        <is>
          <t>Standard Class</t>
        </is>
      </c>
      <c r="H1212" t="n">
        <v>11</v>
      </c>
      <c r="I1212" s="11" t="n">
        <v>1189.72</v>
      </c>
      <c r="J1212" s="12" t="n">
        <v>0</v>
      </c>
      <c r="K1212" s="11" t="n">
        <v>13086.92</v>
      </c>
      <c r="L1212" s="11" t="n">
        <v>5342.06</v>
      </c>
      <c r="M1212" s="12" t="n">
        <v>0.4082</v>
      </c>
    </row>
    <row r="1213">
      <c r="A1213" t="inlineStr">
        <is>
          <t>ORD-11234</t>
        </is>
      </c>
      <c r="B1213" s="10" t="inlineStr">
        <is>
          <t>2025-03-01</t>
        </is>
      </c>
      <c r="C1213" t="inlineStr">
        <is>
          <t>Customer 166</t>
        </is>
      </c>
      <c r="D1213" t="inlineStr">
        <is>
          <t>West</t>
        </is>
      </c>
      <c r="E1213" t="inlineStr">
        <is>
          <t>Office Supplies</t>
        </is>
      </c>
      <c r="F1213" t="inlineStr">
        <is>
          <t>Pens (Box)</t>
        </is>
      </c>
      <c r="G1213" t="inlineStr">
        <is>
          <t>Second Class</t>
        </is>
      </c>
      <c r="H1213" t="n">
        <v>3</v>
      </c>
      <c r="I1213" s="11" t="n">
        <v>403.37</v>
      </c>
      <c r="J1213" s="12" t="n">
        <v>0</v>
      </c>
      <c r="K1213" s="11" t="n">
        <v>1210.11</v>
      </c>
      <c r="L1213" s="11" t="n">
        <v>297.82</v>
      </c>
      <c r="M1213" s="12" t="n">
        <v>0.2461</v>
      </c>
    </row>
    <row r="1214">
      <c r="A1214" t="inlineStr">
        <is>
          <t>ORD-10695</t>
        </is>
      </c>
      <c r="B1214" s="10" t="inlineStr">
        <is>
          <t>2025-03-01</t>
        </is>
      </c>
      <c r="C1214" t="inlineStr">
        <is>
          <t>Customer 60</t>
        </is>
      </c>
      <c r="D1214" t="inlineStr">
        <is>
          <t>East</t>
        </is>
      </c>
      <c r="E1214" t="inlineStr">
        <is>
          <t>Furniture</t>
        </is>
      </c>
      <c r="F1214" t="inlineStr">
        <is>
          <t>Chair</t>
        </is>
      </c>
      <c r="G1214" t="inlineStr">
        <is>
          <t>Second Class</t>
        </is>
      </c>
      <c r="H1214" t="n">
        <v>8</v>
      </c>
      <c r="I1214" s="11" t="n">
        <v>563.09</v>
      </c>
      <c r="J1214" s="12" t="n">
        <v>0</v>
      </c>
      <c r="K1214" s="11" t="n">
        <v>4504.72</v>
      </c>
      <c r="L1214" s="11" t="n">
        <v>1800.22</v>
      </c>
      <c r="M1214" s="12" t="n">
        <v>0.3996</v>
      </c>
    </row>
    <row r="1215">
      <c r="A1215" t="inlineStr">
        <is>
          <t>ORD-11906</t>
        </is>
      </c>
      <c r="B1215" s="10" t="inlineStr">
        <is>
          <t>2025-03-02</t>
        </is>
      </c>
      <c r="C1215" t="inlineStr">
        <is>
          <t>Customer 36</t>
        </is>
      </c>
      <c r="D1215" t="inlineStr">
        <is>
          <t>North</t>
        </is>
      </c>
      <c r="E1215" t="inlineStr">
        <is>
          <t>Office Supplies</t>
        </is>
      </c>
      <c r="F1215" t="inlineStr">
        <is>
          <t>Pens (Box)</t>
        </is>
      </c>
      <c r="G1215" t="inlineStr">
        <is>
          <t>Same Day</t>
        </is>
      </c>
      <c r="H1215" t="n">
        <v>8</v>
      </c>
      <c r="I1215" s="11" t="n">
        <v>785.96</v>
      </c>
      <c r="J1215" s="12" t="n">
        <v>0</v>
      </c>
      <c r="K1215" s="11" t="n">
        <v>6287.68</v>
      </c>
      <c r="L1215" s="11" t="n">
        <v>2181.06</v>
      </c>
      <c r="M1215" s="12" t="n">
        <v>0.3469</v>
      </c>
    </row>
    <row r="1216">
      <c r="A1216" t="inlineStr">
        <is>
          <t>ORD-11823</t>
        </is>
      </c>
      <c r="B1216" s="10" t="inlineStr">
        <is>
          <t>2025-03-02</t>
        </is>
      </c>
      <c r="C1216" t="inlineStr">
        <is>
          <t>Customer 111</t>
        </is>
      </c>
      <c r="D1216" t="inlineStr">
        <is>
          <t>South</t>
        </is>
      </c>
      <c r="E1216" t="inlineStr">
        <is>
          <t>Furniture</t>
        </is>
      </c>
      <c r="F1216" t="inlineStr">
        <is>
          <t>Desk</t>
        </is>
      </c>
      <c r="G1216" t="inlineStr">
        <is>
          <t>First Class</t>
        </is>
      </c>
      <c r="H1216" t="n">
        <v>3</v>
      </c>
      <c r="I1216" s="11" t="n">
        <v>759.62</v>
      </c>
      <c r="J1216" s="12" t="n">
        <v>0</v>
      </c>
      <c r="K1216" s="11" t="n">
        <v>2278.86</v>
      </c>
      <c r="L1216" s="11" t="n">
        <v>795.36</v>
      </c>
      <c r="M1216" s="12" t="n">
        <v>0.349</v>
      </c>
    </row>
    <row r="1217">
      <c r="A1217" t="inlineStr">
        <is>
          <t>ORD-11463</t>
        </is>
      </c>
      <c r="B1217" s="10" t="inlineStr">
        <is>
          <t>2025-03-03</t>
        </is>
      </c>
      <c r="C1217" t="inlineStr">
        <is>
          <t>Customer 66</t>
        </is>
      </c>
      <c r="D1217" t="inlineStr">
        <is>
          <t>South</t>
        </is>
      </c>
      <c r="E1217" t="inlineStr">
        <is>
          <t>Technology</t>
        </is>
      </c>
      <c r="F1217" t="inlineStr">
        <is>
          <t>Wireless Mouse</t>
        </is>
      </c>
      <c r="G1217" t="inlineStr">
        <is>
          <t>Standard Class</t>
        </is>
      </c>
      <c r="H1217" t="n">
        <v>3</v>
      </c>
      <c r="I1217" s="11" t="n">
        <v>1132.82</v>
      </c>
      <c r="J1217" s="12" t="n">
        <v>0</v>
      </c>
      <c r="K1217" s="11" t="n">
        <v>3398.46</v>
      </c>
      <c r="L1217" s="11" t="n">
        <v>1071.15</v>
      </c>
      <c r="M1217" s="12" t="n">
        <v>0.3152</v>
      </c>
    </row>
    <row r="1218">
      <c r="A1218" t="inlineStr">
        <is>
          <t>ORD-10332</t>
        </is>
      </c>
      <c r="B1218" s="10" t="inlineStr">
        <is>
          <t>2025-03-04</t>
        </is>
      </c>
      <c r="C1218" t="inlineStr">
        <is>
          <t>Customer 110</t>
        </is>
      </c>
      <c r="D1218" t="inlineStr">
        <is>
          <t>East</t>
        </is>
      </c>
      <c r="E1218" t="inlineStr">
        <is>
          <t>Furniture</t>
        </is>
      </c>
      <c r="F1218" t="inlineStr">
        <is>
          <t>Desk</t>
        </is>
      </c>
      <c r="G1218" t="inlineStr">
        <is>
          <t>Same Day</t>
        </is>
      </c>
      <c r="H1218" t="n">
        <v>4</v>
      </c>
      <c r="I1218" s="11" t="n">
        <v>1159.61</v>
      </c>
      <c r="J1218" s="12" t="n">
        <v>0</v>
      </c>
      <c r="K1218" s="11" t="n">
        <v>4638.44</v>
      </c>
      <c r="L1218" s="11" t="n">
        <v>842.21</v>
      </c>
      <c r="M1218" s="12" t="n">
        <v>0.1816</v>
      </c>
    </row>
    <row r="1219">
      <c r="A1219" t="inlineStr">
        <is>
          <t>ORD-11278</t>
        </is>
      </c>
      <c r="B1219" s="10" t="inlineStr">
        <is>
          <t>2025-03-05</t>
        </is>
      </c>
      <c r="C1219" t="inlineStr">
        <is>
          <t>Customer 183</t>
        </is>
      </c>
      <c r="D1219" t="inlineStr">
        <is>
          <t>South</t>
        </is>
      </c>
      <c r="E1219" t="inlineStr">
        <is>
          <t>Technology</t>
        </is>
      </c>
      <c r="F1219" t="inlineStr">
        <is>
          <t>Laptop</t>
        </is>
      </c>
      <c r="G1219" t="inlineStr">
        <is>
          <t>Standard Class</t>
        </is>
      </c>
      <c r="H1219" t="n">
        <v>8</v>
      </c>
      <c r="I1219" s="11" t="n">
        <v>1001.99</v>
      </c>
      <c r="J1219" s="12" t="n">
        <v>0.2</v>
      </c>
      <c r="K1219" s="11" t="n">
        <v>6412.74</v>
      </c>
      <c r="L1219" s="11" t="n">
        <v>89.31</v>
      </c>
      <c r="M1219" s="12" t="n">
        <v>0.0139</v>
      </c>
    </row>
    <row r="1220">
      <c r="A1220" t="inlineStr">
        <is>
          <t>ORD-11527</t>
        </is>
      </c>
      <c r="B1220" s="10" t="inlineStr">
        <is>
          <t>2025-03-05</t>
        </is>
      </c>
      <c r="C1220" t="inlineStr">
        <is>
          <t>Customer 66</t>
        </is>
      </c>
      <c r="D1220" t="inlineStr">
        <is>
          <t>South</t>
        </is>
      </c>
      <c r="E1220" t="inlineStr">
        <is>
          <t>Office Supplies</t>
        </is>
      </c>
      <c r="F1220" t="inlineStr">
        <is>
          <t>Stapler</t>
        </is>
      </c>
      <c r="G1220" t="inlineStr">
        <is>
          <t>Standard Class</t>
        </is>
      </c>
      <c r="H1220" t="n">
        <v>2</v>
      </c>
      <c r="I1220" s="11" t="n">
        <v>345.28</v>
      </c>
      <c r="J1220" s="12" t="n">
        <v>0</v>
      </c>
      <c r="K1220" s="11" t="n">
        <v>690.5599999999999</v>
      </c>
      <c r="L1220" s="11" t="n">
        <v>104.45</v>
      </c>
      <c r="M1220" s="12" t="n">
        <v>0.1513</v>
      </c>
    </row>
    <row r="1221">
      <c r="A1221" t="inlineStr">
        <is>
          <t>ORD-10557</t>
        </is>
      </c>
      <c r="B1221" s="10" t="inlineStr">
        <is>
          <t>2025-03-05</t>
        </is>
      </c>
      <c r="C1221" t="inlineStr">
        <is>
          <t>Customer 33</t>
        </is>
      </c>
      <c r="D1221" t="inlineStr">
        <is>
          <t>North</t>
        </is>
      </c>
      <c r="E1221" t="inlineStr">
        <is>
          <t>Office Supplies</t>
        </is>
      </c>
      <c r="F1221" t="inlineStr">
        <is>
          <t>Pens (Box)</t>
        </is>
      </c>
      <c r="G1221" t="inlineStr">
        <is>
          <t>Standard Class</t>
        </is>
      </c>
      <c r="H1221" t="n">
        <v>10</v>
      </c>
      <c r="I1221" s="11" t="n">
        <v>877.67</v>
      </c>
      <c r="J1221" s="12" t="n">
        <v>0.15</v>
      </c>
      <c r="K1221" s="11" t="n">
        <v>7460.19</v>
      </c>
      <c r="L1221" s="11" t="n">
        <v>200.64</v>
      </c>
      <c r="M1221" s="12" t="n">
        <v>0.0269</v>
      </c>
    </row>
    <row r="1222">
      <c r="A1222" t="inlineStr">
        <is>
          <t>ORD-11551</t>
        </is>
      </c>
      <c r="B1222" s="10" t="inlineStr">
        <is>
          <t>2025-03-07</t>
        </is>
      </c>
      <c r="C1222" t="inlineStr">
        <is>
          <t>Customer 4</t>
        </is>
      </c>
      <c r="D1222" t="inlineStr">
        <is>
          <t>South</t>
        </is>
      </c>
      <c r="E1222" t="inlineStr">
        <is>
          <t>Office Supplies</t>
        </is>
      </c>
      <c r="F1222" t="inlineStr">
        <is>
          <t>Binder</t>
        </is>
      </c>
      <c r="G1222" t="inlineStr">
        <is>
          <t>Second Class</t>
        </is>
      </c>
      <c r="H1222" t="n">
        <v>1</v>
      </c>
      <c r="I1222" s="11" t="n">
        <v>880.1799999999999</v>
      </c>
      <c r="J1222" s="12" t="n">
        <v>0</v>
      </c>
      <c r="K1222" s="11" t="n">
        <v>880.1799999999999</v>
      </c>
      <c r="L1222" s="11" t="n">
        <v>236.48</v>
      </c>
      <c r="M1222" s="12" t="n">
        <v>0.2687</v>
      </c>
    </row>
    <row r="1223">
      <c r="A1223" t="inlineStr">
        <is>
          <t>ORD-10006</t>
        </is>
      </c>
      <c r="B1223" s="10" t="inlineStr">
        <is>
          <t>2025-03-07</t>
        </is>
      </c>
      <c r="C1223" t="inlineStr">
        <is>
          <t>Customer 5</t>
        </is>
      </c>
      <c r="D1223" t="inlineStr">
        <is>
          <t>South</t>
        </is>
      </c>
      <c r="E1223" t="inlineStr">
        <is>
          <t>Technology</t>
        </is>
      </c>
      <c r="F1223" t="inlineStr">
        <is>
          <t>Monitor</t>
        </is>
      </c>
      <c r="G1223" t="inlineStr">
        <is>
          <t>Same Day</t>
        </is>
      </c>
      <c r="H1223" t="n">
        <v>7</v>
      </c>
      <c r="I1223" s="11" t="n">
        <v>32.25</v>
      </c>
      <c r="J1223" s="12" t="n">
        <v>0.3</v>
      </c>
      <c r="K1223" s="11" t="n">
        <v>158.02</v>
      </c>
      <c r="L1223" s="11" t="n">
        <v>7.04</v>
      </c>
      <c r="M1223" s="12" t="n">
        <v>0.0446</v>
      </c>
    </row>
    <row r="1224">
      <c r="A1224" t="inlineStr">
        <is>
          <t>ORD-11474</t>
        </is>
      </c>
      <c r="B1224" s="10" t="inlineStr">
        <is>
          <t>2025-03-07</t>
        </is>
      </c>
      <c r="C1224" t="inlineStr">
        <is>
          <t>Customer 42</t>
        </is>
      </c>
      <c r="D1224" t="inlineStr">
        <is>
          <t>West</t>
        </is>
      </c>
      <c r="E1224" t="inlineStr">
        <is>
          <t>Technology</t>
        </is>
      </c>
      <c r="F1224" t="inlineStr">
        <is>
          <t>Laptop</t>
        </is>
      </c>
      <c r="G1224" t="inlineStr">
        <is>
          <t>First Class</t>
        </is>
      </c>
      <c r="H1224" t="n">
        <v>2</v>
      </c>
      <c r="I1224" s="11" t="n">
        <v>842.15</v>
      </c>
      <c r="J1224" s="12" t="n">
        <v>0</v>
      </c>
      <c r="K1224" s="11" t="n">
        <v>1684.3</v>
      </c>
      <c r="L1224" s="11" t="n">
        <v>602.79</v>
      </c>
      <c r="M1224" s="12" t="n">
        <v>0.3579</v>
      </c>
    </row>
    <row r="1225">
      <c r="A1225" t="inlineStr">
        <is>
          <t>ORD-11551</t>
        </is>
      </c>
      <c r="B1225" s="10" t="inlineStr">
        <is>
          <t>2025-03-07</t>
        </is>
      </c>
      <c r="C1225" t="inlineStr">
        <is>
          <t>Customer 4</t>
        </is>
      </c>
      <c r="D1225" t="inlineStr">
        <is>
          <t>South</t>
        </is>
      </c>
      <c r="E1225" t="inlineStr">
        <is>
          <t>Office Supplies</t>
        </is>
      </c>
      <c r="F1225" t="inlineStr">
        <is>
          <t>Binder</t>
        </is>
      </c>
      <c r="G1225" t="inlineStr">
        <is>
          <t>Second Class</t>
        </is>
      </c>
      <c r="H1225" t="n">
        <v>1</v>
      </c>
      <c r="I1225" s="11" t="n">
        <v>880.1799999999999</v>
      </c>
      <c r="J1225" s="12" t="n">
        <v>0</v>
      </c>
      <c r="K1225" s="11" t="n">
        <v>880.1799999999999</v>
      </c>
      <c r="L1225" s="11" t="n">
        <v>236.48</v>
      </c>
      <c r="M1225" s="12" t="n">
        <v>0.2687</v>
      </c>
    </row>
    <row r="1226">
      <c r="A1226" t="inlineStr">
        <is>
          <t>ORD-11133</t>
        </is>
      </c>
      <c r="B1226" s="10" t="inlineStr">
        <is>
          <t>2025-03-07</t>
        </is>
      </c>
      <c r="C1226" t="inlineStr">
        <is>
          <t>Customer 160</t>
        </is>
      </c>
      <c r="D1226" t="inlineStr">
        <is>
          <t>West</t>
        </is>
      </c>
      <c r="E1226" t="inlineStr">
        <is>
          <t>Furniture</t>
        </is>
      </c>
      <c r="F1226" t="inlineStr">
        <is>
          <t>Desk</t>
        </is>
      </c>
      <c r="G1226" t="inlineStr">
        <is>
          <t>First Class</t>
        </is>
      </c>
      <c r="H1226" t="n">
        <v>8</v>
      </c>
      <c r="I1226" s="11" t="n">
        <v>581.12</v>
      </c>
      <c r="J1226" s="12" t="n">
        <v>0</v>
      </c>
      <c r="K1226" s="11" t="n">
        <v>4648.96</v>
      </c>
      <c r="L1226" s="11" t="n">
        <v>2261.97</v>
      </c>
      <c r="M1226" s="12" t="n">
        <v>0.4866</v>
      </c>
    </row>
    <row r="1227">
      <c r="A1227" t="inlineStr">
        <is>
          <t>ORD-11891</t>
        </is>
      </c>
      <c r="B1227" s="10" t="inlineStr">
        <is>
          <t>2025-03-08</t>
        </is>
      </c>
      <c r="C1227" t="inlineStr">
        <is>
          <t>Customer 156</t>
        </is>
      </c>
      <c r="D1227" t="inlineStr">
        <is>
          <t>East</t>
        </is>
      </c>
      <c r="E1227" t="inlineStr">
        <is>
          <t>Technology</t>
        </is>
      </c>
      <c r="F1227" t="inlineStr">
        <is>
          <t>Monitor</t>
        </is>
      </c>
      <c r="G1227" t="inlineStr">
        <is>
          <t>Second Class</t>
        </is>
      </c>
      <c r="H1227" t="n">
        <v>3</v>
      </c>
      <c r="I1227" s="11" t="n">
        <v>704.83</v>
      </c>
      <c r="J1227" s="12" t="n">
        <v>0.1</v>
      </c>
      <c r="K1227" s="11" t="n">
        <v>1903.04</v>
      </c>
      <c r="L1227" s="11" t="n">
        <v>288.44</v>
      </c>
      <c r="M1227" s="12" t="n">
        <v>0.1516</v>
      </c>
    </row>
    <row r="1228">
      <c r="A1228" t="inlineStr">
        <is>
          <t>ORD-10289</t>
        </is>
      </c>
      <c r="B1228" s="10" t="inlineStr">
        <is>
          <t>2025-03-08</t>
        </is>
      </c>
      <c r="C1228" t="inlineStr">
        <is>
          <t>Customer 61</t>
        </is>
      </c>
      <c r="D1228" t="inlineStr">
        <is>
          <t>West</t>
        </is>
      </c>
      <c r="E1228" t="inlineStr">
        <is>
          <t>Office Supplies</t>
        </is>
      </c>
      <c r="F1228" t="inlineStr">
        <is>
          <t>Paper</t>
        </is>
      </c>
      <c r="G1228" t="inlineStr">
        <is>
          <t>First Class</t>
        </is>
      </c>
      <c r="H1228" t="n">
        <v>5</v>
      </c>
      <c r="I1228" s="11" t="n">
        <v>213.89</v>
      </c>
      <c r="J1228" s="12" t="n">
        <v>0</v>
      </c>
      <c r="K1228" s="11" t="n">
        <v>1069.45</v>
      </c>
      <c r="L1228" s="11" t="n">
        <v>361.08</v>
      </c>
      <c r="M1228" s="12" t="n">
        <v>0.3376</v>
      </c>
    </row>
    <row r="1229">
      <c r="A1229" t="inlineStr">
        <is>
          <t>ORD-10666</t>
        </is>
      </c>
      <c r="B1229" s="10" t="inlineStr">
        <is>
          <t>2025-03-08</t>
        </is>
      </c>
      <c r="C1229" t="inlineStr">
        <is>
          <t>Customer 87</t>
        </is>
      </c>
      <c r="D1229" t="inlineStr">
        <is>
          <t>North</t>
        </is>
      </c>
      <c r="E1229" t="inlineStr">
        <is>
          <t>Furniture</t>
        </is>
      </c>
      <c r="F1229" t="inlineStr">
        <is>
          <t>Chair</t>
        </is>
      </c>
      <c r="G1229" t="inlineStr">
        <is>
          <t>Standard Class</t>
        </is>
      </c>
      <c r="H1229" t="n">
        <v>4</v>
      </c>
      <c r="I1229" s="11" t="n">
        <v>458.22</v>
      </c>
      <c r="J1229" s="12" t="n">
        <v>0</v>
      </c>
      <c r="K1229" s="11" t="n">
        <v>1832.88</v>
      </c>
      <c r="L1229" s="11" t="n">
        <v>827.84</v>
      </c>
      <c r="M1229" s="12" t="n">
        <v>0.4517</v>
      </c>
    </row>
    <row r="1230">
      <c r="A1230" t="inlineStr">
        <is>
          <t>ORD-11285</t>
        </is>
      </c>
      <c r="B1230" s="10" t="inlineStr">
        <is>
          <t>2025-03-09</t>
        </is>
      </c>
      <c r="C1230" t="inlineStr">
        <is>
          <t>Customer 183</t>
        </is>
      </c>
      <c r="D1230" t="inlineStr">
        <is>
          <t>South</t>
        </is>
      </c>
      <c r="E1230" t="inlineStr">
        <is>
          <t>Technology</t>
        </is>
      </c>
      <c r="F1230" t="inlineStr">
        <is>
          <t>Printer</t>
        </is>
      </c>
      <c r="G1230" t="inlineStr">
        <is>
          <t>Same Day</t>
        </is>
      </c>
      <c r="H1230" t="n">
        <v>8</v>
      </c>
      <c r="I1230" s="11" t="n">
        <v>136.95</v>
      </c>
      <c r="J1230" s="12" t="n">
        <v>0.1</v>
      </c>
      <c r="K1230" s="11" t="n">
        <v>986.04</v>
      </c>
      <c r="L1230" s="11" t="n">
        <v>77.06</v>
      </c>
      <c r="M1230" s="12" t="n">
        <v>0.07820000000000001</v>
      </c>
    </row>
    <row r="1231">
      <c r="A1231" t="inlineStr">
        <is>
          <t>ORD-10279</t>
        </is>
      </c>
      <c r="B1231" s="10" t="inlineStr">
        <is>
          <t>2025-03-09</t>
        </is>
      </c>
      <c r="C1231" t="inlineStr">
        <is>
          <t>Customer 153</t>
        </is>
      </c>
      <c r="D1231" t="inlineStr">
        <is>
          <t>West</t>
        </is>
      </c>
      <c r="E1231" t="inlineStr">
        <is>
          <t>Furniture</t>
        </is>
      </c>
      <c r="F1231" t="inlineStr">
        <is>
          <t>Desk</t>
        </is>
      </c>
      <c r="G1231" t="inlineStr">
        <is>
          <t>Second Class</t>
        </is>
      </c>
      <c r="H1231" t="n">
        <v>9</v>
      </c>
      <c r="I1231" s="11" t="n">
        <v>1072.2</v>
      </c>
      <c r="J1231" s="12" t="n">
        <v>0</v>
      </c>
      <c r="K1231" s="11" t="n">
        <v>9649.799999999999</v>
      </c>
      <c r="L1231" s="11" t="n">
        <v>4221.68</v>
      </c>
      <c r="M1231" s="12" t="n">
        <v>0.4375</v>
      </c>
    </row>
    <row r="1232">
      <c r="A1232" t="inlineStr">
        <is>
          <t>ORD-11619</t>
        </is>
      </c>
      <c r="B1232" s="10" t="inlineStr">
        <is>
          <t>2025-03-10</t>
        </is>
      </c>
      <c r="C1232" t="inlineStr">
        <is>
          <t>Customer 131</t>
        </is>
      </c>
      <c r="D1232" t="inlineStr">
        <is>
          <t>East</t>
        </is>
      </c>
      <c r="E1232" t="inlineStr">
        <is>
          <t>Office Supplies</t>
        </is>
      </c>
      <c r="F1232" t="inlineStr">
        <is>
          <t>Binder</t>
        </is>
      </c>
      <c r="G1232" t="inlineStr">
        <is>
          <t>First Class</t>
        </is>
      </c>
      <c r="H1232" t="n">
        <v>11</v>
      </c>
      <c r="I1232" s="11" t="n">
        <v>934.27</v>
      </c>
      <c r="J1232" s="12" t="n">
        <v>0</v>
      </c>
      <c r="K1232" s="11" t="n">
        <v>10276.97</v>
      </c>
      <c r="L1232" s="11" t="n">
        <v>3553.27</v>
      </c>
      <c r="M1232" s="12" t="n">
        <v>0.3458</v>
      </c>
    </row>
    <row r="1233">
      <c r="A1233" t="inlineStr">
        <is>
          <t>ORD-10619</t>
        </is>
      </c>
      <c r="B1233" s="10" t="inlineStr">
        <is>
          <t>2025-03-10</t>
        </is>
      </c>
      <c r="C1233" t="inlineStr">
        <is>
          <t>Customer 57</t>
        </is>
      </c>
      <c r="D1233" t="inlineStr">
        <is>
          <t>East</t>
        </is>
      </c>
      <c r="E1233" t="inlineStr">
        <is>
          <t>Office Supplies</t>
        </is>
      </c>
      <c r="F1233" t="inlineStr">
        <is>
          <t>Pens (Box)</t>
        </is>
      </c>
      <c r="G1233" t="inlineStr">
        <is>
          <t>Second Class</t>
        </is>
      </c>
      <c r="H1233" t="n">
        <v>4</v>
      </c>
      <c r="I1233" s="11" t="n">
        <v>582.84</v>
      </c>
      <c r="J1233" s="12" t="n">
        <v>0.3</v>
      </c>
      <c r="K1233" s="11" t="n">
        <v>1631.95</v>
      </c>
      <c r="L1233" s="11" t="n">
        <v>-185.05</v>
      </c>
      <c r="M1233" s="12" t="n">
        <v>-0.1134</v>
      </c>
    </row>
    <row r="1234">
      <c r="A1234" t="inlineStr">
        <is>
          <t>ORD-11664</t>
        </is>
      </c>
      <c r="B1234" s="10" t="inlineStr">
        <is>
          <t>2025-03-11</t>
        </is>
      </c>
      <c r="C1234" t="inlineStr">
        <is>
          <t>Customer 22</t>
        </is>
      </c>
      <c r="D1234" t="inlineStr">
        <is>
          <t>South</t>
        </is>
      </c>
      <c r="E1234" t="inlineStr">
        <is>
          <t>Furniture</t>
        </is>
      </c>
      <c r="F1234" t="inlineStr">
        <is>
          <t>Bookcase</t>
        </is>
      </c>
      <c r="G1234" t="inlineStr">
        <is>
          <t>Same Day</t>
        </is>
      </c>
      <c r="H1234" t="n">
        <v>5</v>
      </c>
      <c r="I1234" s="11" t="n">
        <v>790.14</v>
      </c>
      <c r="J1234" s="12" t="n">
        <v>0.1</v>
      </c>
      <c r="K1234" s="11" t="n">
        <v>3555.63</v>
      </c>
      <c r="L1234" s="11" t="n">
        <v>291.97</v>
      </c>
      <c r="M1234" s="12" t="n">
        <v>0.08210000000000001</v>
      </c>
    </row>
    <row r="1235">
      <c r="A1235" t="inlineStr">
        <is>
          <t>ORD-10811</t>
        </is>
      </c>
      <c r="B1235" s="10" t="inlineStr">
        <is>
          <t>2025-03-11</t>
        </is>
      </c>
      <c r="C1235" t="inlineStr">
        <is>
          <t>Customer 156</t>
        </is>
      </c>
      <c r="D1235" t="inlineStr">
        <is>
          <t>East</t>
        </is>
      </c>
      <c r="E1235" t="inlineStr">
        <is>
          <t>Office Supplies</t>
        </is>
      </c>
      <c r="F1235" t="inlineStr">
        <is>
          <t>Paper</t>
        </is>
      </c>
      <c r="G1235" t="inlineStr">
        <is>
          <t>Second Class</t>
        </is>
      </c>
      <c r="H1235" t="n">
        <v>5</v>
      </c>
      <c r="I1235" s="11" t="n">
        <v>941.95</v>
      </c>
      <c r="J1235" s="12" t="n">
        <v>0.15</v>
      </c>
      <c r="K1235" s="11" t="n">
        <v>4003.29</v>
      </c>
      <c r="L1235" s="11" t="n">
        <v>1128.02</v>
      </c>
      <c r="M1235" s="12" t="n">
        <v>0.2818</v>
      </c>
    </row>
    <row r="1236">
      <c r="A1236" t="inlineStr">
        <is>
          <t>ORD-10812</t>
        </is>
      </c>
      <c r="B1236" s="10" t="inlineStr">
        <is>
          <t>2025-03-12</t>
        </is>
      </c>
      <c r="C1236" t="inlineStr">
        <is>
          <t>Customer 184</t>
        </is>
      </c>
      <c r="D1236" t="inlineStr">
        <is>
          <t>East</t>
        </is>
      </c>
      <c r="E1236" t="inlineStr">
        <is>
          <t>Office Supplies</t>
        </is>
      </c>
      <c r="F1236" t="inlineStr">
        <is>
          <t>Paper</t>
        </is>
      </c>
      <c r="G1236" t="inlineStr">
        <is>
          <t>First Class</t>
        </is>
      </c>
      <c r="H1236" t="n">
        <v>7</v>
      </c>
      <c r="I1236" s="11" t="n">
        <v>782</v>
      </c>
      <c r="J1236" s="12" t="n">
        <v>0.1</v>
      </c>
      <c r="K1236" s="11" t="n">
        <v>112948.7256815162</v>
      </c>
      <c r="L1236" s="11" t="n">
        <v>1699.84</v>
      </c>
      <c r="M1236" s="12" t="n">
        <v>0.015</v>
      </c>
    </row>
    <row r="1237">
      <c r="A1237" t="inlineStr">
        <is>
          <t>ORD-10217</t>
        </is>
      </c>
      <c r="B1237" s="10" t="inlineStr">
        <is>
          <t>2025-03-12</t>
        </is>
      </c>
      <c r="C1237" t="inlineStr">
        <is>
          <t>Customer 177</t>
        </is>
      </c>
      <c r="D1237" t="inlineStr">
        <is>
          <t>East</t>
        </is>
      </c>
      <c r="E1237" t="inlineStr">
        <is>
          <t>Office Supplies</t>
        </is>
      </c>
      <c r="F1237" t="inlineStr">
        <is>
          <t>Binder</t>
        </is>
      </c>
      <c r="G1237" t="inlineStr">
        <is>
          <t>Second Class</t>
        </is>
      </c>
      <c r="H1237" t="n">
        <v>6</v>
      </c>
      <c r="I1237" s="11" t="n">
        <v>885.2</v>
      </c>
      <c r="J1237" s="12" t="n">
        <v>0</v>
      </c>
      <c r="K1237" s="11" t="n">
        <v>5311.2</v>
      </c>
      <c r="L1237" s="11" t="n">
        <v>2255.01</v>
      </c>
      <c r="M1237" s="12" t="n">
        <v>0.4246</v>
      </c>
    </row>
    <row r="1238">
      <c r="A1238" t="inlineStr">
        <is>
          <t>ORD-10848</t>
        </is>
      </c>
      <c r="B1238" s="10" t="inlineStr">
        <is>
          <t>2025-03-12</t>
        </is>
      </c>
      <c r="C1238" t="inlineStr">
        <is>
          <t>Customer 29</t>
        </is>
      </c>
      <c r="D1238" t="inlineStr">
        <is>
          <t>East</t>
        </is>
      </c>
      <c r="E1238" t="inlineStr">
        <is>
          <t>Furniture</t>
        </is>
      </c>
      <c r="F1238" t="inlineStr">
        <is>
          <t>Chair</t>
        </is>
      </c>
      <c r="G1238" t="inlineStr">
        <is>
          <t>First Class</t>
        </is>
      </c>
      <c r="H1238" t="n">
        <v>6</v>
      </c>
      <c r="I1238" s="11" t="n">
        <v>517.84</v>
      </c>
      <c r="J1238" s="12" t="n">
        <v>0.1</v>
      </c>
      <c r="K1238" s="11" t="n">
        <v>2796.34</v>
      </c>
      <c r="L1238" s="11" t="n">
        <v>1191.57</v>
      </c>
      <c r="M1238" s="12" t="n">
        <v>0.4261</v>
      </c>
    </row>
    <row r="1239">
      <c r="A1239" t="inlineStr">
        <is>
          <t>ORD-10838</t>
        </is>
      </c>
      <c r="B1239" s="10" t="inlineStr">
        <is>
          <t>2025-03-12</t>
        </is>
      </c>
      <c r="C1239" t="inlineStr">
        <is>
          <t>Customer 148</t>
        </is>
      </c>
      <c r="D1239" t="inlineStr">
        <is>
          <t>North</t>
        </is>
      </c>
      <c r="E1239" t="inlineStr">
        <is>
          <t>Technology</t>
        </is>
      </c>
      <c r="F1239" t="inlineStr">
        <is>
          <t>Printer</t>
        </is>
      </c>
      <c r="G1239" t="inlineStr">
        <is>
          <t>Same Day</t>
        </is>
      </c>
      <c r="H1239" t="n">
        <v>1</v>
      </c>
      <c r="I1239" s="11" t="n">
        <v>721.87</v>
      </c>
      <c r="J1239" s="12" t="n">
        <v>0</v>
      </c>
      <c r="K1239" s="11" t="n">
        <v>721.87</v>
      </c>
      <c r="L1239" s="11" t="n">
        <v>287.65</v>
      </c>
      <c r="M1239" s="12" t="n">
        <v>0.3985</v>
      </c>
    </row>
    <row r="1240">
      <c r="A1240" t="inlineStr">
        <is>
          <t>ORD-11192</t>
        </is>
      </c>
      <c r="B1240" s="10" t="inlineStr">
        <is>
          <t>2025-03-13</t>
        </is>
      </c>
      <c r="C1240" t="inlineStr">
        <is>
          <t>Customer 123</t>
        </is>
      </c>
      <c r="D1240" t="inlineStr">
        <is>
          <t>East</t>
        </is>
      </c>
      <c r="E1240" t="inlineStr">
        <is>
          <t>Office Supplies</t>
        </is>
      </c>
      <c r="F1240" t="inlineStr">
        <is>
          <t>Paper</t>
        </is>
      </c>
      <c r="G1240" t="inlineStr">
        <is>
          <t>Second Class</t>
        </is>
      </c>
      <c r="H1240" t="n">
        <v>6</v>
      </c>
      <c r="I1240" s="11" t="n">
        <v>132.95</v>
      </c>
      <c r="J1240" s="12" t="n">
        <v>0</v>
      </c>
      <c r="K1240" s="11" t="n">
        <v>797.7</v>
      </c>
      <c r="L1240" s="11" t="n">
        <v>257.25</v>
      </c>
      <c r="M1240" s="12" t="n">
        <v>0.3225</v>
      </c>
    </row>
    <row r="1241">
      <c r="A1241" t="inlineStr">
        <is>
          <t>ORD-11897</t>
        </is>
      </c>
      <c r="B1241" s="10" t="inlineStr">
        <is>
          <t>2025-03-13</t>
        </is>
      </c>
      <c r="C1241" t="inlineStr">
        <is>
          <t>Customer 167</t>
        </is>
      </c>
      <c r="D1241" t="inlineStr">
        <is>
          <t>South</t>
        </is>
      </c>
      <c r="E1241" t="inlineStr">
        <is>
          <t>Furniture</t>
        </is>
      </c>
      <c r="F1241" t="inlineStr">
        <is>
          <t>Table Lamp</t>
        </is>
      </c>
      <c r="G1241" t="inlineStr">
        <is>
          <t>Standard Class</t>
        </is>
      </c>
      <c r="H1241" t="n">
        <v>1</v>
      </c>
      <c r="I1241" s="11" t="n">
        <v>782.42</v>
      </c>
      <c r="J1241" s="12" t="n">
        <v>0.15</v>
      </c>
      <c r="K1241" s="11" t="n">
        <v>665.0599999999999</v>
      </c>
      <c r="L1241" s="11" t="n">
        <v>0.61</v>
      </c>
      <c r="M1241" s="12" t="n">
        <v>0.0009</v>
      </c>
    </row>
    <row r="1242">
      <c r="A1242" t="inlineStr">
        <is>
          <t>ORD-11897</t>
        </is>
      </c>
      <c r="B1242" s="10" t="inlineStr">
        <is>
          <t>2025-03-13</t>
        </is>
      </c>
      <c r="C1242" t="inlineStr">
        <is>
          <t>Customer 167</t>
        </is>
      </c>
      <c r="D1242" t="inlineStr">
        <is>
          <t>South</t>
        </is>
      </c>
      <c r="E1242" t="inlineStr">
        <is>
          <t>Furniture</t>
        </is>
      </c>
      <c r="F1242" t="inlineStr">
        <is>
          <t>Table Lamp</t>
        </is>
      </c>
      <c r="G1242" t="inlineStr">
        <is>
          <t>Standard Class</t>
        </is>
      </c>
      <c r="H1242" t="n">
        <v>1</v>
      </c>
      <c r="I1242" s="11" t="n">
        <v>782.42</v>
      </c>
      <c r="J1242" s="12" t="n">
        <v>0.15</v>
      </c>
      <c r="K1242" s="11" t="n">
        <v>665.0599999999999</v>
      </c>
      <c r="L1242" s="11" t="n">
        <v>0.61</v>
      </c>
      <c r="M1242" s="12" t="n">
        <v>0.0009</v>
      </c>
    </row>
    <row r="1243">
      <c r="A1243" t="inlineStr">
        <is>
          <t>ORD-10794</t>
        </is>
      </c>
      <c r="B1243" s="10" t="inlineStr">
        <is>
          <t>2025-03-15</t>
        </is>
      </c>
      <c r="C1243" t="inlineStr">
        <is>
          <t>Customer 194</t>
        </is>
      </c>
      <c r="D1243" t="inlineStr">
        <is>
          <t>South</t>
        </is>
      </c>
      <c r="E1243" t="inlineStr">
        <is>
          <t>Technology</t>
        </is>
      </c>
      <c r="F1243" t="inlineStr">
        <is>
          <t>Wireless Mouse</t>
        </is>
      </c>
      <c r="G1243" t="inlineStr">
        <is>
          <t>First Class</t>
        </is>
      </c>
      <c r="H1243" t="n">
        <v>11</v>
      </c>
      <c r="I1243" s="11" t="n">
        <v>510.37</v>
      </c>
      <c r="J1243" s="12" t="n">
        <v>0</v>
      </c>
      <c r="K1243" s="11" t="n">
        <v>5614.07</v>
      </c>
      <c r="L1243" s="11" t="n">
        <v>2425.84</v>
      </c>
      <c r="M1243" s="12" t="n">
        <v>0.4321</v>
      </c>
    </row>
    <row r="1244">
      <c r="A1244" t="inlineStr">
        <is>
          <t>ORD-10934</t>
        </is>
      </c>
      <c r="B1244" s="10" t="inlineStr">
        <is>
          <t>2025-03-15</t>
        </is>
      </c>
      <c r="C1244" t="inlineStr">
        <is>
          <t>Customer 106</t>
        </is>
      </c>
      <c r="D1244" t="inlineStr">
        <is>
          <t>West</t>
        </is>
      </c>
      <c r="E1244" t="inlineStr">
        <is>
          <t>Office Supplies</t>
        </is>
      </c>
      <c r="F1244" t="inlineStr">
        <is>
          <t>Stapler</t>
        </is>
      </c>
      <c r="G1244" t="inlineStr">
        <is>
          <t>Same Day</t>
        </is>
      </c>
      <c r="H1244" t="n">
        <v>8</v>
      </c>
      <c r="I1244" s="11" t="n">
        <v>554.9400000000001</v>
      </c>
      <c r="J1244" s="12" t="n">
        <v>0</v>
      </c>
      <c r="K1244" s="11" t="n">
        <v>4439.52</v>
      </c>
      <c r="L1244" s="11" t="n">
        <v>1134.34</v>
      </c>
      <c r="M1244" s="12" t="n">
        <v>0.2555</v>
      </c>
    </row>
    <row r="1245">
      <c r="A1245" t="inlineStr">
        <is>
          <t>ORD-10525</t>
        </is>
      </c>
      <c r="B1245" s="10" t="inlineStr">
        <is>
          <t>2025-03-15</t>
        </is>
      </c>
      <c r="C1245" t="inlineStr">
        <is>
          <t>Customer 168</t>
        </is>
      </c>
      <c r="D1245" t="inlineStr">
        <is>
          <t>North</t>
        </is>
      </c>
      <c r="E1245" t="inlineStr">
        <is>
          <t>Technology</t>
        </is>
      </c>
      <c r="F1245" t="inlineStr">
        <is>
          <t>Monitor</t>
        </is>
      </c>
      <c r="G1245" t="inlineStr">
        <is>
          <t>Standard Class</t>
        </is>
      </c>
      <c r="H1245" t="n">
        <v>9</v>
      </c>
      <c r="I1245" s="11" t="n">
        <v>819.24</v>
      </c>
      <c r="J1245" s="12" t="n">
        <v>0</v>
      </c>
      <c r="K1245" s="11" t="n">
        <v>7373.16</v>
      </c>
      <c r="L1245" s="11" t="n">
        <v>1211.59</v>
      </c>
      <c r="M1245" s="12" t="n">
        <v>0.1643</v>
      </c>
    </row>
    <row r="1246">
      <c r="A1246" t="inlineStr">
        <is>
          <t>ORD-11967</t>
        </is>
      </c>
      <c r="B1246" s="10" t="inlineStr">
        <is>
          <t>2025-03-16</t>
        </is>
      </c>
      <c r="C1246" t="inlineStr">
        <is>
          <t>Customer 102</t>
        </is>
      </c>
      <c r="D1246" t="inlineStr">
        <is>
          <t>North</t>
        </is>
      </c>
      <c r="E1246" t="inlineStr">
        <is>
          <t>Furniture</t>
        </is>
      </c>
      <c r="F1246" t="inlineStr">
        <is>
          <t>Desk</t>
        </is>
      </c>
      <c r="G1246" t="inlineStr">
        <is>
          <t>Standard Class</t>
        </is>
      </c>
      <c r="H1246" t="n">
        <v>2</v>
      </c>
      <c r="I1246" s="11" t="n">
        <v>826.5599999999999</v>
      </c>
      <c r="J1246" s="12" t="n">
        <v>0</v>
      </c>
      <c r="K1246" s="11" t="n">
        <v>1653.12</v>
      </c>
      <c r="L1246" s="11" t="n">
        <v>325.15</v>
      </c>
      <c r="M1246" s="12" t="n">
        <v>0.1967</v>
      </c>
    </row>
    <row r="1247">
      <c r="A1247" t="inlineStr">
        <is>
          <t>ORD-11380</t>
        </is>
      </c>
      <c r="B1247" s="10" t="inlineStr">
        <is>
          <t>2025-03-16</t>
        </is>
      </c>
      <c r="C1247" t="inlineStr">
        <is>
          <t>Customer 44</t>
        </is>
      </c>
      <c r="D1247" t="inlineStr">
        <is>
          <t>South</t>
        </is>
      </c>
      <c r="E1247" t="inlineStr">
        <is>
          <t>Furniture</t>
        </is>
      </c>
      <c r="F1247" t="inlineStr">
        <is>
          <t>Chair</t>
        </is>
      </c>
      <c r="G1247" t="inlineStr">
        <is>
          <t>Second Class</t>
        </is>
      </c>
      <c r="H1247" t="n">
        <v>5</v>
      </c>
      <c r="I1247" s="11" t="n">
        <v>433.58</v>
      </c>
      <c r="J1247" s="12" t="n">
        <v>0</v>
      </c>
      <c r="K1247" s="11" t="n">
        <v>2167.9</v>
      </c>
      <c r="L1247" s="11" t="n">
        <v>571.36</v>
      </c>
      <c r="M1247" s="12" t="n">
        <v>0.2636</v>
      </c>
    </row>
    <row r="1248">
      <c r="A1248" t="inlineStr">
        <is>
          <t>ORD-11123</t>
        </is>
      </c>
      <c r="B1248" s="10" t="inlineStr">
        <is>
          <t>2025-03-16</t>
        </is>
      </c>
      <c r="C1248" t="inlineStr">
        <is>
          <t>Customer 104</t>
        </is>
      </c>
      <c r="D1248" t="inlineStr">
        <is>
          <t>North</t>
        </is>
      </c>
      <c r="E1248" t="inlineStr">
        <is>
          <t>Office Supplies</t>
        </is>
      </c>
      <c r="F1248" t="inlineStr">
        <is>
          <t>Pens (Box)</t>
        </is>
      </c>
      <c r="G1248" t="inlineStr">
        <is>
          <t>Standard Class</t>
        </is>
      </c>
      <c r="H1248" t="n">
        <v>10</v>
      </c>
      <c r="I1248" s="11" t="n">
        <v>1078.39</v>
      </c>
      <c r="J1248" s="12" t="n">
        <v>0</v>
      </c>
      <c r="K1248" s="11" t="n">
        <v>10783.9</v>
      </c>
      <c r="L1248" s="11" t="n">
        <v>4186.37</v>
      </c>
      <c r="M1248" s="12" t="n">
        <v>0.3882</v>
      </c>
    </row>
    <row r="1249">
      <c r="A1249" t="inlineStr">
        <is>
          <t>ORD-11132</t>
        </is>
      </c>
      <c r="B1249" s="10" t="inlineStr">
        <is>
          <t>2025-03-16</t>
        </is>
      </c>
      <c r="C1249" t="inlineStr">
        <is>
          <t>Customer 141</t>
        </is>
      </c>
      <c r="D1249" t="inlineStr">
        <is>
          <t>South</t>
        </is>
      </c>
      <c r="E1249" t="inlineStr">
        <is>
          <t>Furniture</t>
        </is>
      </c>
      <c r="F1249" t="inlineStr">
        <is>
          <t>Desk</t>
        </is>
      </c>
      <c r="G1249" t="inlineStr">
        <is>
          <t>Standard Class</t>
        </is>
      </c>
      <c r="H1249" t="n">
        <v>6</v>
      </c>
      <c r="I1249" s="11" t="n">
        <v>581.595</v>
      </c>
      <c r="J1249" s="12" t="n">
        <v>0</v>
      </c>
      <c r="K1249" s="11" t="n">
        <v>2294.4</v>
      </c>
      <c r="L1249" s="11" t="n">
        <v>587.3</v>
      </c>
      <c r="M1249" s="12" t="n">
        <v>0.256</v>
      </c>
    </row>
    <row r="1250">
      <c r="A1250" t="inlineStr">
        <is>
          <t>ORD-11567</t>
        </is>
      </c>
      <c r="B1250" s="10" t="inlineStr">
        <is>
          <t>2025-03-16</t>
        </is>
      </c>
      <c r="C1250" t="inlineStr">
        <is>
          <t>Customer 197</t>
        </is>
      </c>
      <c r="D1250" t="inlineStr">
        <is>
          <t>South</t>
        </is>
      </c>
      <c r="E1250" t="inlineStr">
        <is>
          <t>Office Supplies</t>
        </is>
      </c>
      <c r="F1250" t="inlineStr">
        <is>
          <t>Stapler</t>
        </is>
      </c>
      <c r="G1250" t="inlineStr">
        <is>
          <t>Second Class</t>
        </is>
      </c>
      <c r="H1250" t="n">
        <v>8</v>
      </c>
      <c r="I1250" s="11" t="n">
        <v>1013.8</v>
      </c>
      <c r="J1250" s="12" t="n">
        <v>0</v>
      </c>
      <c r="K1250" s="11" t="n">
        <v>8110.4</v>
      </c>
      <c r="L1250" s="11" t="n">
        <v>1343.05</v>
      </c>
      <c r="M1250" s="12" t="n">
        <v>0.1656</v>
      </c>
    </row>
    <row r="1251">
      <c r="A1251" t="inlineStr">
        <is>
          <t>ORD-11486</t>
        </is>
      </c>
      <c r="B1251" s="10" t="inlineStr">
        <is>
          <t>2025-03-16</t>
        </is>
      </c>
      <c r="C1251" t="inlineStr">
        <is>
          <t>Customer 105</t>
        </is>
      </c>
      <c r="D1251" t="inlineStr">
        <is>
          <t>West</t>
        </is>
      </c>
      <c r="E1251" t="inlineStr">
        <is>
          <t>Office Supplies</t>
        </is>
      </c>
      <c r="F1251" t="inlineStr">
        <is>
          <t>Paper</t>
        </is>
      </c>
      <c r="G1251" t="inlineStr">
        <is>
          <t>Standard Class</t>
        </is>
      </c>
      <c r="H1251" t="n">
        <v>10</v>
      </c>
      <c r="I1251" s="11" t="n">
        <v>528.91</v>
      </c>
      <c r="J1251" s="12" t="n">
        <v>0.1</v>
      </c>
      <c r="K1251" s="11" t="n">
        <v>4760.19</v>
      </c>
      <c r="L1251" s="11" t="n">
        <v>1144.51</v>
      </c>
      <c r="M1251" s="12" t="n">
        <v>0.2404</v>
      </c>
    </row>
    <row r="1252">
      <c r="A1252" t="inlineStr">
        <is>
          <t>ORD-11391</t>
        </is>
      </c>
      <c r="B1252" s="10" t="inlineStr">
        <is>
          <t>2025-03-17</t>
        </is>
      </c>
      <c r="C1252" t="inlineStr">
        <is>
          <t>Customer 40</t>
        </is>
      </c>
      <c r="D1252" t="inlineStr">
        <is>
          <t>East</t>
        </is>
      </c>
      <c r="E1252" t="inlineStr">
        <is>
          <t>Office Supplies</t>
        </is>
      </c>
      <c r="F1252" t="inlineStr">
        <is>
          <t>Paper</t>
        </is>
      </c>
      <c r="G1252" t="inlineStr">
        <is>
          <t>Standard Class</t>
        </is>
      </c>
      <c r="H1252" t="n">
        <v>6</v>
      </c>
      <c r="I1252" s="11" t="n">
        <v>752.17</v>
      </c>
      <c r="J1252" s="12" t="n">
        <v>0</v>
      </c>
      <c r="K1252" s="11" t="n">
        <v>4513.02</v>
      </c>
      <c r="L1252" s="11" t="n">
        <v>2026.18</v>
      </c>
      <c r="M1252" s="12" t="n">
        <v>0.449</v>
      </c>
    </row>
    <row r="1253">
      <c r="A1253" t="inlineStr">
        <is>
          <t>ORD-11887</t>
        </is>
      </c>
      <c r="B1253" s="10" t="inlineStr">
        <is>
          <t>2025-03-17</t>
        </is>
      </c>
      <c r="C1253" t="inlineStr">
        <is>
          <t>Customer 175</t>
        </is>
      </c>
      <c r="D1253" t="inlineStr">
        <is>
          <t>East</t>
        </is>
      </c>
      <c r="E1253" t="inlineStr">
        <is>
          <t>Office Supplies</t>
        </is>
      </c>
      <c r="F1253" t="inlineStr">
        <is>
          <t>Paper</t>
        </is>
      </c>
      <c r="G1253" t="inlineStr">
        <is>
          <t>Standard Class</t>
        </is>
      </c>
      <c r="H1253" t="n">
        <v>1</v>
      </c>
      <c r="I1253" s="11" t="n">
        <v>640</v>
      </c>
      <c r="J1253" s="12" t="n">
        <v>0</v>
      </c>
      <c r="K1253" s="11" t="n">
        <v>640</v>
      </c>
      <c r="L1253" s="11" t="n">
        <v>180.74</v>
      </c>
      <c r="M1253" s="12" t="n">
        <v>0.2824</v>
      </c>
    </row>
    <row r="1254">
      <c r="A1254" t="inlineStr">
        <is>
          <t>ORD-10155</t>
        </is>
      </c>
      <c r="B1254" s="10" t="inlineStr">
        <is>
          <t>2025-03-17</t>
        </is>
      </c>
      <c r="C1254" t="inlineStr">
        <is>
          <t>Customer 133</t>
        </is>
      </c>
      <c r="D1254" t="inlineStr">
        <is>
          <t>North</t>
        </is>
      </c>
      <c r="E1254" t="inlineStr">
        <is>
          <t>Technology</t>
        </is>
      </c>
      <c r="F1254" t="inlineStr">
        <is>
          <t>Monitor</t>
        </is>
      </c>
      <c r="G1254" t="inlineStr">
        <is>
          <t>Standard Class</t>
        </is>
      </c>
      <c r="H1254" t="n">
        <v>9</v>
      </c>
      <c r="I1254" s="11" t="n">
        <v>1007.81</v>
      </c>
      <c r="J1254" s="12" t="n">
        <v>0</v>
      </c>
      <c r="K1254" s="11" t="n">
        <v>9070.290000000001</v>
      </c>
      <c r="L1254" s="11" t="n">
        <v>2076.94</v>
      </c>
      <c r="M1254" s="12" t="n">
        <v>0.229</v>
      </c>
    </row>
    <row r="1255">
      <c r="A1255" t="inlineStr">
        <is>
          <t>ORD-11319</t>
        </is>
      </c>
      <c r="B1255" s="10" t="inlineStr">
        <is>
          <t>2025-03-18</t>
        </is>
      </c>
      <c r="C1255" t="inlineStr">
        <is>
          <t>Customer 108</t>
        </is>
      </c>
      <c r="D1255" t="inlineStr">
        <is>
          <t>East</t>
        </is>
      </c>
      <c r="E1255" t="inlineStr">
        <is>
          <t>Office Supplies</t>
        </is>
      </c>
      <c r="F1255" t="inlineStr">
        <is>
          <t>Binder</t>
        </is>
      </c>
      <c r="G1255" t="inlineStr">
        <is>
          <t>Second Class</t>
        </is>
      </c>
      <c r="H1255" t="n">
        <v>7</v>
      </c>
      <c r="I1255" s="11" t="n">
        <v>1067.66</v>
      </c>
      <c r="J1255" s="12" t="n">
        <v>0</v>
      </c>
      <c r="K1255" s="11" t="n">
        <v>7473.62</v>
      </c>
      <c r="L1255" s="11" t="n">
        <v>2822.34</v>
      </c>
      <c r="M1255" s="12" t="n">
        <v>0.3776</v>
      </c>
    </row>
    <row r="1256">
      <c r="A1256" t="inlineStr">
        <is>
          <t>ORD-11589</t>
        </is>
      </c>
      <c r="B1256" s="10" t="inlineStr">
        <is>
          <t>2025-03-18</t>
        </is>
      </c>
      <c r="C1256" t="inlineStr">
        <is>
          <t>Customer 16</t>
        </is>
      </c>
      <c r="D1256" t="inlineStr">
        <is>
          <t>West</t>
        </is>
      </c>
      <c r="E1256" t="inlineStr">
        <is>
          <t>Technology</t>
        </is>
      </c>
      <c r="F1256" t="inlineStr">
        <is>
          <t>Printer</t>
        </is>
      </c>
      <c r="G1256" t="inlineStr">
        <is>
          <t>Second Class</t>
        </is>
      </c>
      <c r="H1256" t="n">
        <v>3</v>
      </c>
      <c r="I1256" s="11" t="n">
        <v>741.8099999999999</v>
      </c>
      <c r="J1256" s="12" t="n">
        <v>0</v>
      </c>
      <c r="K1256" s="11" t="n">
        <v>2225.43</v>
      </c>
      <c r="L1256" s="11" t="n">
        <v>1025.91</v>
      </c>
      <c r="M1256" s="12" t="n">
        <v>0.461</v>
      </c>
    </row>
    <row r="1257">
      <c r="A1257" t="inlineStr">
        <is>
          <t>ORD-11439</t>
        </is>
      </c>
      <c r="B1257" s="10" t="inlineStr">
        <is>
          <t>2025-03-18</t>
        </is>
      </c>
      <c r="C1257" t="inlineStr">
        <is>
          <t>Customer 50</t>
        </is>
      </c>
      <c r="D1257" t="inlineStr">
        <is>
          <t>West</t>
        </is>
      </c>
      <c r="E1257" t="inlineStr">
        <is>
          <t>Technology</t>
        </is>
      </c>
      <c r="F1257" t="inlineStr">
        <is>
          <t>Monitor</t>
        </is>
      </c>
      <c r="G1257" t="inlineStr">
        <is>
          <t>Second Class</t>
        </is>
      </c>
      <c r="H1257" t="n">
        <v>3</v>
      </c>
      <c r="I1257" s="11" t="n">
        <v>420.72</v>
      </c>
      <c r="J1257" s="12" t="n">
        <v>0.2</v>
      </c>
      <c r="K1257" s="11" t="n">
        <v>1009.73</v>
      </c>
      <c r="L1257" s="11" t="n">
        <v>267.95</v>
      </c>
      <c r="M1257" s="12" t="n">
        <v>0.2654</v>
      </c>
    </row>
    <row r="1258">
      <c r="A1258" t="inlineStr">
        <is>
          <t>ORD-11252</t>
        </is>
      </c>
      <c r="B1258" s="10" t="inlineStr">
        <is>
          <t>2025-03-19</t>
        </is>
      </c>
      <c r="C1258" t="inlineStr">
        <is>
          <t>Customer 178</t>
        </is>
      </c>
      <c r="D1258" t="inlineStr">
        <is>
          <t>North</t>
        </is>
      </c>
      <c r="E1258" t="inlineStr">
        <is>
          <t>Technology</t>
        </is>
      </c>
      <c r="F1258" t="inlineStr">
        <is>
          <t>Wireless Mouse</t>
        </is>
      </c>
      <c r="G1258" t="inlineStr">
        <is>
          <t>First Class</t>
        </is>
      </c>
      <c r="H1258" t="n">
        <v>4</v>
      </c>
      <c r="I1258" s="11" t="n">
        <v>1073.01</v>
      </c>
      <c r="J1258" s="12" t="n">
        <v>0</v>
      </c>
      <c r="K1258" s="11" t="n">
        <v>4292.04</v>
      </c>
      <c r="L1258" s="11" t="n">
        <v>755.88</v>
      </c>
      <c r="M1258" s="12" t="n">
        <v>0.1761</v>
      </c>
    </row>
    <row r="1259">
      <c r="A1259" t="inlineStr">
        <is>
          <t>ORD-11482</t>
        </is>
      </c>
      <c r="B1259" s="10" t="inlineStr">
        <is>
          <t>2025-03-19</t>
        </is>
      </c>
      <c r="C1259" t="inlineStr">
        <is>
          <t>Customer 192</t>
        </is>
      </c>
      <c r="D1259" t="inlineStr">
        <is>
          <t>East</t>
        </is>
      </c>
      <c r="E1259" t="inlineStr">
        <is>
          <t>Furniture</t>
        </is>
      </c>
      <c r="F1259" t="inlineStr">
        <is>
          <t>Desk</t>
        </is>
      </c>
      <c r="G1259" t="inlineStr">
        <is>
          <t>Same Day</t>
        </is>
      </c>
      <c r="H1259" t="n">
        <v>4</v>
      </c>
      <c r="I1259" s="11" t="n">
        <v>1128.16</v>
      </c>
      <c r="J1259" s="12" t="n">
        <v>0</v>
      </c>
      <c r="K1259" s="11" t="n">
        <v>4512.64</v>
      </c>
      <c r="L1259" s="11" t="n">
        <v>1661.26</v>
      </c>
      <c r="M1259" s="12" t="n">
        <v>0.3681</v>
      </c>
    </row>
    <row r="1260">
      <c r="A1260" t="inlineStr">
        <is>
          <t>ORD-10592</t>
        </is>
      </c>
      <c r="B1260" s="10" t="inlineStr">
        <is>
          <t>2025-03-20</t>
        </is>
      </c>
      <c r="C1260" t="inlineStr">
        <is>
          <t>Customer 101</t>
        </is>
      </c>
      <c r="D1260" t="inlineStr">
        <is>
          <t>West</t>
        </is>
      </c>
      <c r="E1260" t="inlineStr">
        <is>
          <t>Office Supplies</t>
        </is>
      </c>
      <c r="F1260" t="inlineStr">
        <is>
          <t>Paper</t>
        </is>
      </c>
      <c r="G1260" t="inlineStr">
        <is>
          <t>Standard Class</t>
        </is>
      </c>
      <c r="H1260" t="n">
        <v>4</v>
      </c>
      <c r="I1260" s="11" t="n">
        <v>217.49</v>
      </c>
      <c r="J1260" s="12" t="n">
        <v>0.15</v>
      </c>
      <c r="K1260" s="11" t="n">
        <v>739.47</v>
      </c>
      <c r="L1260" s="11" t="n">
        <v>240.62</v>
      </c>
      <c r="M1260" s="12" t="n">
        <v>0.3254</v>
      </c>
    </row>
    <row r="1261">
      <c r="A1261" t="inlineStr">
        <is>
          <t>ORD-11614</t>
        </is>
      </c>
      <c r="B1261" s="10" t="inlineStr">
        <is>
          <t>2025-03-20</t>
        </is>
      </c>
      <c r="C1261" t="inlineStr">
        <is>
          <t>Customer 44</t>
        </is>
      </c>
      <c r="D1261" t="inlineStr">
        <is>
          <t>South</t>
        </is>
      </c>
      <c r="E1261" t="inlineStr">
        <is>
          <t>Furniture</t>
        </is>
      </c>
      <c r="F1261" t="inlineStr">
        <is>
          <t>Bookcase</t>
        </is>
      </c>
      <c r="G1261" t="inlineStr">
        <is>
          <t>Standard Class</t>
        </is>
      </c>
      <c r="H1261" t="n">
        <v>2</v>
      </c>
      <c r="I1261" s="11" t="n">
        <v>1166.6</v>
      </c>
      <c r="J1261" s="12" t="n">
        <v>0</v>
      </c>
      <c r="K1261" s="11" t="n">
        <v>2333.2</v>
      </c>
      <c r="L1261" s="11" t="n">
        <v>698.25</v>
      </c>
      <c r="M1261" s="12" t="n">
        <v>0.2993</v>
      </c>
    </row>
    <row r="1262">
      <c r="A1262" t="inlineStr">
        <is>
          <t>ORD-11005</t>
        </is>
      </c>
      <c r="B1262" s="10" t="inlineStr">
        <is>
          <t>2025-03-20</t>
        </is>
      </c>
      <c r="C1262" t="inlineStr">
        <is>
          <t>Customer 168</t>
        </is>
      </c>
      <c r="D1262" t="inlineStr">
        <is>
          <t>North</t>
        </is>
      </c>
      <c r="E1262" t="inlineStr">
        <is>
          <t>Technology</t>
        </is>
      </c>
      <c r="F1262" t="inlineStr">
        <is>
          <t>Printer</t>
        </is>
      </c>
      <c r="G1262" t="inlineStr">
        <is>
          <t>First Class</t>
        </is>
      </c>
      <c r="H1262" t="n">
        <v>7</v>
      </c>
      <c r="I1262" s="11" t="n">
        <v>245.9</v>
      </c>
      <c r="J1262" s="12" t="n">
        <v>0.1</v>
      </c>
      <c r="K1262" s="11" t="n">
        <v>1549.17</v>
      </c>
      <c r="L1262" s="11" t="n">
        <v>280.5</v>
      </c>
      <c r="M1262" s="12" t="n">
        <v>0.1811</v>
      </c>
    </row>
    <row r="1263">
      <c r="A1263" t="inlineStr">
        <is>
          <t>ORD-10338</t>
        </is>
      </c>
      <c r="B1263" s="10" t="inlineStr">
        <is>
          <t>2025-03-21</t>
        </is>
      </c>
      <c r="C1263" t="inlineStr">
        <is>
          <t>Customer 83</t>
        </is>
      </c>
      <c r="D1263" t="inlineStr">
        <is>
          <t>North</t>
        </is>
      </c>
      <c r="E1263" t="inlineStr">
        <is>
          <t>Furniture</t>
        </is>
      </c>
      <c r="F1263" t="inlineStr">
        <is>
          <t>Bookcase</t>
        </is>
      </c>
      <c r="G1263" t="inlineStr">
        <is>
          <t>First Class</t>
        </is>
      </c>
      <c r="H1263" t="n">
        <v>7</v>
      </c>
      <c r="I1263" s="11" t="n">
        <v>372.62</v>
      </c>
      <c r="J1263" s="12" t="n">
        <v>0</v>
      </c>
      <c r="K1263" s="11" t="n">
        <v>2608.34</v>
      </c>
      <c r="L1263" s="11" t="n">
        <v>1268.09</v>
      </c>
      <c r="M1263" s="12" t="n">
        <v>0.4862</v>
      </c>
    </row>
    <row r="1264">
      <c r="A1264" t="inlineStr">
        <is>
          <t>ORD-10419</t>
        </is>
      </c>
      <c r="B1264" s="10" t="inlineStr">
        <is>
          <t>2025-03-21</t>
        </is>
      </c>
      <c r="C1264" t="inlineStr">
        <is>
          <t>Customer 161</t>
        </is>
      </c>
      <c r="D1264" t="inlineStr">
        <is>
          <t>West</t>
        </is>
      </c>
      <c r="E1264" t="inlineStr">
        <is>
          <t>Technology</t>
        </is>
      </c>
      <c r="F1264" t="inlineStr">
        <is>
          <t>Monitor</t>
        </is>
      </c>
      <c r="G1264" t="inlineStr">
        <is>
          <t>Same Day</t>
        </is>
      </c>
      <c r="H1264" t="n">
        <v>5</v>
      </c>
      <c r="I1264" s="11" t="n">
        <v>1108.36</v>
      </c>
      <c r="J1264" s="12" t="n">
        <v>0</v>
      </c>
      <c r="K1264" s="11" t="n">
        <v>5541.8</v>
      </c>
      <c r="L1264" s="11" t="n">
        <v>1453.61</v>
      </c>
      <c r="M1264" s="12" t="n">
        <v>0.2623</v>
      </c>
    </row>
    <row r="1265">
      <c r="A1265" t="inlineStr">
        <is>
          <t>ORD-10845</t>
        </is>
      </c>
      <c r="B1265" s="10" t="inlineStr">
        <is>
          <t>2025-03-22</t>
        </is>
      </c>
      <c r="C1265" t="inlineStr">
        <is>
          <t>Customer 200</t>
        </is>
      </c>
      <c r="D1265" t="inlineStr">
        <is>
          <t>West</t>
        </is>
      </c>
      <c r="E1265" t="inlineStr">
        <is>
          <t>Technology</t>
        </is>
      </c>
      <c r="F1265" t="inlineStr">
        <is>
          <t>Laptop</t>
        </is>
      </c>
      <c r="G1265" t="inlineStr">
        <is>
          <t>Second Class</t>
        </is>
      </c>
      <c r="H1265" t="n">
        <v>4</v>
      </c>
      <c r="I1265" s="11" t="n">
        <v>589.99</v>
      </c>
      <c r="J1265" s="12" t="n">
        <v>0</v>
      </c>
      <c r="K1265" s="11" t="n">
        <v>2359.96</v>
      </c>
      <c r="L1265" s="11" t="n">
        <v>827.51</v>
      </c>
      <c r="M1265" s="12" t="n">
        <v>0.3506</v>
      </c>
    </row>
    <row r="1266">
      <c r="A1266" t="inlineStr">
        <is>
          <t>ORD-11101</t>
        </is>
      </c>
      <c r="B1266" s="10" t="inlineStr">
        <is>
          <t>2025-03-22</t>
        </is>
      </c>
      <c r="C1266" t="inlineStr">
        <is>
          <t>Customer 73</t>
        </is>
      </c>
      <c r="D1266" t="inlineStr">
        <is>
          <t>South</t>
        </is>
      </c>
      <c r="E1266" t="inlineStr">
        <is>
          <t>Technology</t>
        </is>
      </c>
      <c r="F1266" t="inlineStr">
        <is>
          <t>Printer</t>
        </is>
      </c>
      <c r="G1266" t="inlineStr">
        <is>
          <t>Second Class</t>
        </is>
      </c>
      <c r="H1266" t="n">
        <v>6</v>
      </c>
      <c r="I1266" s="11" t="n">
        <v>1024.83</v>
      </c>
      <c r="J1266" s="12" t="n">
        <v>0</v>
      </c>
      <c r="K1266" s="11" t="n">
        <v>6148.98</v>
      </c>
      <c r="L1266" s="11" t="n">
        <v>1917.27</v>
      </c>
      <c r="M1266" s="12" t="n">
        <v>0.3118</v>
      </c>
    </row>
    <row r="1267">
      <c r="A1267" t="inlineStr">
        <is>
          <t>ORD-10967</t>
        </is>
      </c>
      <c r="B1267" s="10" t="inlineStr">
        <is>
          <t>2025-03-22</t>
        </is>
      </c>
      <c r="C1267" t="inlineStr">
        <is>
          <t>Customer 55</t>
        </is>
      </c>
      <c r="D1267" t="inlineStr">
        <is>
          <t>South</t>
        </is>
      </c>
      <c r="E1267" t="inlineStr">
        <is>
          <t>Technology</t>
        </is>
      </c>
      <c r="F1267" t="inlineStr">
        <is>
          <t>Printer</t>
        </is>
      </c>
      <c r="G1267" t="inlineStr">
        <is>
          <t>Standard Class</t>
        </is>
      </c>
      <c r="H1267" t="n">
        <v>8</v>
      </c>
      <c r="I1267" s="11" t="n">
        <v>1047.03</v>
      </c>
      <c r="J1267" s="12" t="n">
        <v>0.1</v>
      </c>
      <c r="K1267" s="11" t="n">
        <v>7538.62</v>
      </c>
      <c r="L1267" s="11" t="n">
        <v>1142.62</v>
      </c>
      <c r="M1267" s="12" t="n">
        <v>0.1516</v>
      </c>
    </row>
    <row r="1268">
      <c r="A1268" t="inlineStr">
        <is>
          <t>ORD-11433</t>
        </is>
      </c>
      <c r="B1268" s="10" t="inlineStr">
        <is>
          <t>2025-03-22</t>
        </is>
      </c>
      <c r="C1268" t="inlineStr">
        <is>
          <t>Customer 115</t>
        </is>
      </c>
      <c r="D1268" t="inlineStr">
        <is>
          <t>East</t>
        </is>
      </c>
      <c r="E1268" t="inlineStr">
        <is>
          <t>Office Supplies</t>
        </is>
      </c>
      <c r="F1268" t="inlineStr">
        <is>
          <t>Pens (Box)</t>
        </is>
      </c>
      <c r="G1268" t="inlineStr">
        <is>
          <t>Second Class</t>
        </is>
      </c>
      <c r="H1268" t="n">
        <v>8</v>
      </c>
      <c r="I1268" s="11" t="n">
        <v>413.99</v>
      </c>
      <c r="J1268" s="12" t="n">
        <v>0</v>
      </c>
      <c r="K1268" s="11" t="n">
        <v>3311.92</v>
      </c>
      <c r="L1268" s="11" t="n">
        <v>1369.97</v>
      </c>
      <c r="M1268" s="12" t="n">
        <v>0.4136</v>
      </c>
    </row>
    <row r="1269">
      <c r="A1269" t="inlineStr">
        <is>
          <t>ORD-11669</t>
        </is>
      </c>
      <c r="B1269" s="10" t="inlineStr">
        <is>
          <t>2025-03-22</t>
        </is>
      </c>
      <c r="C1269" t="inlineStr">
        <is>
          <t>Customer 13</t>
        </is>
      </c>
      <c r="D1269" t="inlineStr">
        <is>
          <t>East</t>
        </is>
      </c>
      <c r="E1269" t="inlineStr">
        <is>
          <t>Technology</t>
        </is>
      </c>
      <c r="F1269" t="inlineStr">
        <is>
          <t>Printer</t>
        </is>
      </c>
      <c r="G1269" t="inlineStr">
        <is>
          <t>Second Class</t>
        </is>
      </c>
      <c r="H1269" t="n">
        <v>6</v>
      </c>
      <c r="I1269" s="11" t="n">
        <v>1125</v>
      </c>
      <c r="J1269" s="12" t="n">
        <v>0.3</v>
      </c>
      <c r="K1269" s="11" t="n">
        <v>4725</v>
      </c>
      <c r="L1269" s="11" t="n">
        <v>-919.8099999999999</v>
      </c>
      <c r="M1269" s="12" t="n">
        <v>-0.1947</v>
      </c>
    </row>
    <row r="1270">
      <c r="A1270" t="inlineStr">
        <is>
          <t>ORD-11021</t>
        </is>
      </c>
      <c r="B1270" s="10" t="inlineStr">
        <is>
          <t>2025-03-23</t>
        </is>
      </c>
      <c r="C1270" t="inlineStr">
        <is>
          <t>Customer 129</t>
        </is>
      </c>
      <c r="D1270" t="inlineStr">
        <is>
          <t>East</t>
        </is>
      </c>
      <c r="E1270" t="inlineStr">
        <is>
          <t>Office Supplies</t>
        </is>
      </c>
      <c r="F1270" t="inlineStr">
        <is>
          <t>Stapler</t>
        </is>
      </c>
      <c r="G1270" t="inlineStr">
        <is>
          <t>Standard Class</t>
        </is>
      </c>
      <c r="H1270" t="n">
        <v>6</v>
      </c>
      <c r="I1270" s="11" t="n">
        <v>1025.63</v>
      </c>
      <c r="J1270" s="12" t="n">
        <v>0.1</v>
      </c>
      <c r="K1270" s="11" t="n">
        <v>5538.4</v>
      </c>
      <c r="L1270" s="11" t="n">
        <v>2249.82</v>
      </c>
      <c r="M1270" s="12" t="n">
        <v>0.4062</v>
      </c>
    </row>
    <row r="1271">
      <c r="A1271" t="inlineStr">
        <is>
          <t>ORD-10712</t>
        </is>
      </c>
      <c r="B1271" s="10" t="inlineStr">
        <is>
          <t>2025-03-23</t>
        </is>
      </c>
      <c r="C1271" t="inlineStr">
        <is>
          <t>Customer 6</t>
        </is>
      </c>
      <c r="D1271" t="inlineStr">
        <is>
          <t>West</t>
        </is>
      </c>
      <c r="E1271" t="inlineStr">
        <is>
          <t>Office Supplies</t>
        </is>
      </c>
      <c r="F1271" t="inlineStr">
        <is>
          <t>Binder</t>
        </is>
      </c>
      <c r="G1271" t="inlineStr">
        <is>
          <t>Second Class</t>
        </is>
      </c>
      <c r="H1271" t="n">
        <v>11</v>
      </c>
      <c r="I1271" s="11" t="n">
        <v>88.84</v>
      </c>
      <c r="J1271" s="12" t="n">
        <v>0</v>
      </c>
      <c r="K1271" s="11" t="n">
        <v>977.24</v>
      </c>
      <c r="L1271" s="11" t="n">
        <v>213.53</v>
      </c>
      <c r="M1271" s="12" t="n">
        <v>0.2185</v>
      </c>
    </row>
    <row r="1272">
      <c r="A1272" t="inlineStr">
        <is>
          <t>ORD-11730</t>
        </is>
      </c>
      <c r="B1272" s="10" t="inlineStr">
        <is>
          <t>2025-03-23</t>
        </is>
      </c>
      <c r="C1272" t="inlineStr">
        <is>
          <t>Customer 23</t>
        </is>
      </c>
      <c r="D1272" t="inlineStr">
        <is>
          <t>North</t>
        </is>
      </c>
      <c r="E1272" t="inlineStr">
        <is>
          <t>Office Supplies</t>
        </is>
      </c>
      <c r="F1272" t="inlineStr">
        <is>
          <t>Paper</t>
        </is>
      </c>
      <c r="G1272" t="inlineStr">
        <is>
          <t>First Class</t>
        </is>
      </c>
      <c r="H1272" t="n">
        <v>6</v>
      </c>
      <c r="I1272" s="11" t="n">
        <v>221.54</v>
      </c>
      <c r="J1272" s="12" t="n">
        <v>0</v>
      </c>
      <c r="K1272" s="11" t="n">
        <v>1329.24</v>
      </c>
      <c r="L1272" s="11" t="n">
        <v>573.5700000000001</v>
      </c>
      <c r="M1272" s="12" t="n">
        <v>0.4315</v>
      </c>
    </row>
    <row r="1273">
      <c r="A1273" t="inlineStr">
        <is>
          <t>ORD-10632</t>
        </is>
      </c>
      <c r="B1273" s="10" t="inlineStr">
        <is>
          <t>2025-03-24</t>
        </is>
      </c>
      <c r="C1273" t="inlineStr">
        <is>
          <t>Customer 166</t>
        </is>
      </c>
      <c r="D1273" t="inlineStr">
        <is>
          <t>West</t>
        </is>
      </c>
      <c r="E1273" t="inlineStr">
        <is>
          <t>Office Supplies</t>
        </is>
      </c>
      <c r="F1273" t="inlineStr">
        <is>
          <t>Paper</t>
        </is>
      </c>
      <c r="G1273" t="inlineStr">
        <is>
          <t>Standard Class</t>
        </is>
      </c>
      <c r="H1273" t="n">
        <v>6</v>
      </c>
      <c r="I1273" s="11" t="n">
        <v>598.415</v>
      </c>
      <c r="J1273" s="12" t="n">
        <v>0</v>
      </c>
      <c r="K1273" s="11" t="n">
        <v>1614.04</v>
      </c>
      <c r="L1273" s="11" t="n">
        <v>598.05</v>
      </c>
      <c r="M1273" s="12" t="n">
        <v>0.3705</v>
      </c>
    </row>
    <row r="1274">
      <c r="A1274" t="inlineStr">
        <is>
          <t>ORD-10241</t>
        </is>
      </c>
      <c r="B1274" s="10" t="inlineStr">
        <is>
          <t>2025-03-24</t>
        </is>
      </c>
      <c r="C1274" t="inlineStr">
        <is>
          <t>Customer 105</t>
        </is>
      </c>
      <c r="D1274" t="inlineStr">
        <is>
          <t>West</t>
        </is>
      </c>
      <c r="E1274" t="inlineStr">
        <is>
          <t>Furniture</t>
        </is>
      </c>
      <c r="F1274" t="inlineStr">
        <is>
          <t>Table Lamp</t>
        </is>
      </c>
      <c r="G1274" t="inlineStr">
        <is>
          <t>Standard Class</t>
        </is>
      </c>
      <c r="H1274" t="n">
        <v>8</v>
      </c>
      <c r="I1274" s="11" t="n">
        <v>940.5700000000001</v>
      </c>
      <c r="J1274" s="12" t="n">
        <v>0</v>
      </c>
      <c r="K1274" s="11" t="n">
        <v>7524.56</v>
      </c>
      <c r="L1274" s="11" t="n">
        <v>1346.23</v>
      </c>
      <c r="M1274" s="12" t="n">
        <v>0.1789</v>
      </c>
    </row>
    <row r="1275">
      <c r="A1275" t="inlineStr">
        <is>
          <t>ORD-10031</t>
        </is>
      </c>
      <c r="B1275" s="10" t="inlineStr">
        <is>
          <t>2025-03-25</t>
        </is>
      </c>
      <c r="C1275" t="inlineStr">
        <is>
          <t>Customer 42</t>
        </is>
      </c>
      <c r="D1275" t="inlineStr">
        <is>
          <t>West</t>
        </is>
      </c>
      <c r="E1275" t="inlineStr">
        <is>
          <t>Office Supplies</t>
        </is>
      </c>
      <c r="F1275" t="inlineStr">
        <is>
          <t>Paper</t>
        </is>
      </c>
      <c r="G1275" t="inlineStr">
        <is>
          <t>First Class</t>
        </is>
      </c>
      <c r="H1275" t="n">
        <v>11</v>
      </c>
      <c r="I1275" s="11" t="n">
        <v>963.42</v>
      </c>
      <c r="J1275" s="12" t="n">
        <v>0.1</v>
      </c>
      <c r="K1275" s="11" t="n">
        <v>9537.860000000001</v>
      </c>
      <c r="L1275" s="11" t="n">
        <v>1855.97</v>
      </c>
      <c r="M1275" s="12" t="n">
        <v>0.1946</v>
      </c>
    </row>
    <row r="1276">
      <c r="A1276" t="inlineStr">
        <is>
          <t>ORD-11710</t>
        </is>
      </c>
      <c r="B1276" s="10" t="inlineStr">
        <is>
          <t>2025-03-25</t>
        </is>
      </c>
      <c r="C1276" t="inlineStr">
        <is>
          <t>Customer 108</t>
        </is>
      </c>
      <c r="D1276" t="inlineStr">
        <is>
          <t>East</t>
        </is>
      </c>
      <c r="E1276" t="inlineStr">
        <is>
          <t>Office Supplies</t>
        </is>
      </c>
      <c r="F1276" t="inlineStr">
        <is>
          <t>Paper</t>
        </is>
      </c>
      <c r="G1276" t="inlineStr">
        <is>
          <t>Standard Class</t>
        </is>
      </c>
      <c r="H1276" t="n">
        <v>3</v>
      </c>
      <c r="I1276" s="11" t="n">
        <v>929.74</v>
      </c>
      <c r="J1276" s="12" t="n">
        <v>0</v>
      </c>
      <c r="K1276" s="11" t="n">
        <v>2789.22</v>
      </c>
      <c r="L1276" s="11" t="n">
        <v>1316.79</v>
      </c>
      <c r="M1276" s="12" t="n">
        <v>0.4721</v>
      </c>
    </row>
    <row r="1277">
      <c r="A1277" t="inlineStr">
        <is>
          <t>ORD-10187</t>
        </is>
      </c>
      <c r="B1277" s="10" t="inlineStr">
        <is>
          <t>2025-03-26</t>
        </is>
      </c>
      <c r="C1277" t="inlineStr">
        <is>
          <t>Customer 130</t>
        </is>
      </c>
      <c r="D1277" t="inlineStr">
        <is>
          <t>East</t>
        </is>
      </c>
      <c r="E1277" t="inlineStr">
        <is>
          <t>Office Supplies</t>
        </is>
      </c>
      <c r="F1277" t="inlineStr">
        <is>
          <t>Pens (Box)</t>
        </is>
      </c>
      <c r="G1277" t="inlineStr">
        <is>
          <t>Same Day</t>
        </is>
      </c>
      <c r="H1277" t="n">
        <v>5</v>
      </c>
      <c r="I1277" s="11" t="n">
        <v>1109.06</v>
      </c>
      <c r="J1277" s="12" t="n">
        <v>0</v>
      </c>
      <c r="K1277" s="11" t="n">
        <v>5545.3</v>
      </c>
      <c r="L1277" s="11" t="n">
        <v>2763.69</v>
      </c>
      <c r="M1277" s="12" t="n">
        <v>0.4984</v>
      </c>
    </row>
    <row r="1278">
      <c r="A1278" t="inlineStr">
        <is>
          <t>ORD-11668</t>
        </is>
      </c>
      <c r="B1278" s="10" t="inlineStr">
        <is>
          <t>2025-03-26</t>
        </is>
      </c>
      <c r="C1278" t="inlineStr">
        <is>
          <t>Customer 7</t>
        </is>
      </c>
      <c r="D1278" t="inlineStr">
        <is>
          <t>North</t>
        </is>
      </c>
      <c r="E1278" t="inlineStr">
        <is>
          <t>Office Supplies</t>
        </is>
      </c>
      <c r="F1278" t="inlineStr">
        <is>
          <t>Pens (Box)</t>
        </is>
      </c>
      <c r="G1278" t="inlineStr">
        <is>
          <t>Same Day</t>
        </is>
      </c>
      <c r="H1278" t="n">
        <v>7</v>
      </c>
      <c r="I1278" s="11" t="n">
        <v>455.37</v>
      </c>
      <c r="J1278" s="12" t="n">
        <v>0.2</v>
      </c>
      <c r="K1278" s="11" t="n">
        <v>2550.07</v>
      </c>
      <c r="L1278" s="11" t="n">
        <v>220.31</v>
      </c>
      <c r="M1278" s="12" t="n">
        <v>0.0864</v>
      </c>
    </row>
    <row r="1279">
      <c r="A1279" t="inlineStr">
        <is>
          <t>ORD-10678</t>
        </is>
      </c>
      <c r="B1279" s="10" t="inlineStr">
        <is>
          <t>2025-03-27</t>
        </is>
      </c>
      <c r="C1279" t="inlineStr">
        <is>
          <t>Customer 154</t>
        </is>
      </c>
      <c r="D1279" t="inlineStr">
        <is>
          <t>South</t>
        </is>
      </c>
      <c r="E1279" t="inlineStr">
        <is>
          <t>Office Supplies</t>
        </is>
      </c>
      <c r="F1279" t="inlineStr">
        <is>
          <t>Binder</t>
        </is>
      </c>
      <c r="G1279" t="inlineStr">
        <is>
          <t>Second Class</t>
        </is>
      </c>
      <c r="H1279" t="n">
        <v>9</v>
      </c>
      <c r="I1279" s="11" t="n">
        <v>555.17</v>
      </c>
      <c r="J1279" s="12" t="n">
        <v>0</v>
      </c>
      <c r="K1279" s="11" t="n">
        <v>4996.53</v>
      </c>
      <c r="L1279" s="11" t="n">
        <v>1803.17</v>
      </c>
      <c r="M1279" s="12" t="n">
        <v>0.3609</v>
      </c>
    </row>
    <row r="1280">
      <c r="A1280" t="inlineStr">
        <is>
          <t>ORD-11592</t>
        </is>
      </c>
      <c r="B1280" s="10" t="inlineStr">
        <is>
          <t>2025-03-27</t>
        </is>
      </c>
      <c r="C1280" t="inlineStr">
        <is>
          <t>Customer 94</t>
        </is>
      </c>
      <c r="D1280" t="inlineStr">
        <is>
          <t>South</t>
        </is>
      </c>
      <c r="E1280" t="inlineStr">
        <is>
          <t>Furniture</t>
        </is>
      </c>
      <c r="F1280" t="inlineStr">
        <is>
          <t>Table Lamp</t>
        </is>
      </c>
      <c r="G1280" t="inlineStr">
        <is>
          <t>Standard Class</t>
        </is>
      </c>
      <c r="H1280" t="n">
        <v>4</v>
      </c>
      <c r="I1280" s="11" t="n">
        <v>656.01</v>
      </c>
      <c r="J1280" s="12" t="n">
        <v>0</v>
      </c>
      <c r="K1280" s="11" t="n">
        <v>2624.04</v>
      </c>
      <c r="L1280" s="11" t="n">
        <v>533.35</v>
      </c>
      <c r="M1280" s="12" t="n">
        <v>0.2033</v>
      </c>
    </row>
    <row r="1281">
      <c r="A1281" t="inlineStr">
        <is>
          <t>ORD-11491</t>
        </is>
      </c>
      <c r="B1281" s="10" t="inlineStr">
        <is>
          <t>2025-03-27</t>
        </is>
      </c>
      <c r="C1281" t="inlineStr">
        <is>
          <t>Customer 27</t>
        </is>
      </c>
      <c r="D1281" t="inlineStr">
        <is>
          <t>South</t>
        </is>
      </c>
      <c r="E1281" t="inlineStr">
        <is>
          <t>Technology</t>
        </is>
      </c>
      <c r="F1281" t="inlineStr">
        <is>
          <t>Monitor</t>
        </is>
      </c>
      <c r="G1281" t="inlineStr">
        <is>
          <t>Same Day</t>
        </is>
      </c>
      <c r="H1281" t="n">
        <v>3</v>
      </c>
      <c r="I1281" s="11" t="n">
        <v>453.8</v>
      </c>
      <c r="J1281" s="12" t="n">
        <v>0</v>
      </c>
      <c r="K1281" s="11" t="n">
        <v>1361.4</v>
      </c>
      <c r="L1281" s="11" t="n">
        <v>250.46</v>
      </c>
      <c r="M1281" s="12" t="n">
        <v>0.184</v>
      </c>
    </row>
    <row r="1282">
      <c r="A1282" t="inlineStr">
        <is>
          <t>ORD-11295</t>
        </is>
      </c>
      <c r="B1282" s="10" t="inlineStr">
        <is>
          <t>2025-03-29</t>
        </is>
      </c>
      <c r="C1282" t="inlineStr">
        <is>
          <t>Customer 186</t>
        </is>
      </c>
      <c r="D1282" t="inlineStr">
        <is>
          <t>South</t>
        </is>
      </c>
      <c r="E1282" t="inlineStr">
        <is>
          <t>Technology</t>
        </is>
      </c>
      <c r="F1282" t="inlineStr">
        <is>
          <t>Wireless Mouse</t>
        </is>
      </c>
      <c r="G1282" t="inlineStr">
        <is>
          <t>Standard Class</t>
        </is>
      </c>
      <c r="H1282" t="n">
        <v>6</v>
      </c>
      <c r="I1282" s="11" t="n">
        <v>1152.23</v>
      </c>
      <c r="J1282" s="12" t="n">
        <v>0</v>
      </c>
      <c r="K1282" s="11" t="n">
        <v>6913.38</v>
      </c>
      <c r="L1282" s="11" t="n">
        <v>2096.28</v>
      </c>
      <c r="M1282" s="12" t="n">
        <v>0.3032</v>
      </c>
    </row>
    <row r="1283">
      <c r="A1283" t="inlineStr">
        <is>
          <t>ORD-11412</t>
        </is>
      </c>
      <c r="B1283" s="10" t="inlineStr">
        <is>
          <t>2025-03-29</t>
        </is>
      </c>
      <c r="C1283" t="inlineStr">
        <is>
          <t>Customer 45</t>
        </is>
      </c>
      <c r="D1283" t="inlineStr">
        <is>
          <t>North</t>
        </is>
      </c>
      <c r="E1283" t="inlineStr">
        <is>
          <t>Office Supplies</t>
        </is>
      </c>
      <c r="F1283" t="inlineStr">
        <is>
          <t>Pens (Box)</t>
        </is>
      </c>
      <c r="G1283" t="inlineStr">
        <is>
          <t>Standard Class</t>
        </is>
      </c>
      <c r="H1283" t="n">
        <v>2</v>
      </c>
      <c r="I1283" s="11" t="n">
        <v>723.05</v>
      </c>
      <c r="J1283" s="12" t="n">
        <v>0</v>
      </c>
      <c r="K1283" s="11" t="n">
        <v>1446.1</v>
      </c>
      <c r="L1283" s="11" t="n">
        <v>289.78</v>
      </c>
      <c r="M1283" s="12" t="n">
        <v>0.2004</v>
      </c>
    </row>
    <row r="1284">
      <c r="A1284" t="inlineStr">
        <is>
          <t>ORD-11747</t>
        </is>
      </c>
      <c r="B1284" s="10" t="inlineStr">
        <is>
          <t>2025-03-30</t>
        </is>
      </c>
      <c r="C1284" t="inlineStr">
        <is>
          <t>Customer 128</t>
        </is>
      </c>
      <c r="D1284" t="inlineStr">
        <is>
          <t>West</t>
        </is>
      </c>
      <c r="E1284" t="inlineStr">
        <is>
          <t>Technology</t>
        </is>
      </c>
      <c r="F1284" t="inlineStr">
        <is>
          <t>Monitor</t>
        </is>
      </c>
      <c r="G1284" t="inlineStr">
        <is>
          <t>Second Class</t>
        </is>
      </c>
      <c r="H1284" t="n">
        <v>10</v>
      </c>
      <c r="I1284" s="11" t="n">
        <v>1152.65</v>
      </c>
      <c r="J1284" s="12" t="n">
        <v>0</v>
      </c>
      <c r="K1284" s="11" t="n">
        <v>11526.5</v>
      </c>
      <c r="L1284" s="11" t="n">
        <v>5406.86</v>
      </c>
      <c r="M1284" s="12" t="n">
        <v>0.4691</v>
      </c>
    </row>
    <row r="1285">
      <c r="A1285" t="inlineStr">
        <is>
          <t>ORD-11644</t>
        </is>
      </c>
      <c r="B1285" s="10" t="inlineStr">
        <is>
          <t>2025-03-30</t>
        </is>
      </c>
      <c r="C1285" t="inlineStr">
        <is>
          <t>Customer 31</t>
        </is>
      </c>
      <c r="D1285" t="inlineStr">
        <is>
          <t>South</t>
        </is>
      </c>
      <c r="E1285" t="inlineStr">
        <is>
          <t>Office Supplies</t>
        </is>
      </c>
      <c r="F1285" t="inlineStr">
        <is>
          <t>Binder</t>
        </is>
      </c>
      <c r="G1285" t="inlineStr">
        <is>
          <t>Same Day</t>
        </is>
      </c>
      <c r="H1285" t="n">
        <v>9</v>
      </c>
      <c r="I1285" s="11" t="n">
        <v>314.94</v>
      </c>
      <c r="J1285" s="12" t="n">
        <v>0</v>
      </c>
      <c r="K1285" s="11" t="n">
        <v>2834.46</v>
      </c>
      <c r="L1285" s="11" t="n">
        <v>435.73</v>
      </c>
      <c r="M1285" s="12" t="n">
        <v>0.1537</v>
      </c>
    </row>
    <row r="1286">
      <c r="A1286" t="inlineStr">
        <is>
          <t>ORD-11206</t>
        </is>
      </c>
      <c r="B1286" s="10" t="inlineStr">
        <is>
          <t>2025-03-30</t>
        </is>
      </c>
      <c r="C1286" t="inlineStr">
        <is>
          <t>Customer 9</t>
        </is>
      </c>
      <c r="D1286" t="inlineStr">
        <is>
          <t>North</t>
        </is>
      </c>
      <c r="E1286" t="inlineStr">
        <is>
          <t>Office Supplies</t>
        </is>
      </c>
      <c r="F1286" t="inlineStr">
        <is>
          <t>Paper</t>
        </is>
      </c>
      <c r="G1286" t="inlineStr">
        <is>
          <t>Standard Class</t>
        </is>
      </c>
      <c r="H1286" t="n">
        <v>3</v>
      </c>
      <c r="I1286" s="11" t="n">
        <v>370.27</v>
      </c>
      <c r="J1286" s="12" t="n">
        <v>0</v>
      </c>
      <c r="K1286" s="11" t="n">
        <v>1110.81</v>
      </c>
      <c r="L1286" s="11" t="n">
        <v>466.43</v>
      </c>
      <c r="M1286" s="12" t="n">
        <v>0.4199</v>
      </c>
    </row>
    <row r="1287">
      <c r="A1287" t="inlineStr">
        <is>
          <t>ORD-11996</t>
        </is>
      </c>
      <c r="B1287" s="10" t="inlineStr">
        <is>
          <t>2025-04-01</t>
        </is>
      </c>
      <c r="C1287" t="inlineStr">
        <is>
          <t>Customer 122</t>
        </is>
      </c>
      <c r="D1287" t="inlineStr">
        <is>
          <t>East</t>
        </is>
      </c>
      <c r="E1287" t="inlineStr">
        <is>
          <t>Furniture</t>
        </is>
      </c>
      <c r="F1287" t="inlineStr">
        <is>
          <t>Chair</t>
        </is>
      </c>
      <c r="G1287" t="inlineStr">
        <is>
          <t>Standard Class</t>
        </is>
      </c>
      <c r="H1287" t="n">
        <v>2</v>
      </c>
      <c r="I1287" s="11" t="n">
        <v>794.92</v>
      </c>
      <c r="J1287" s="12" t="n">
        <v>0</v>
      </c>
      <c r="K1287" s="11" t="n">
        <v>1589.84</v>
      </c>
      <c r="L1287" s="11" t="n">
        <v>487.47</v>
      </c>
      <c r="M1287" s="12" t="n">
        <v>0.3066</v>
      </c>
    </row>
    <row r="1288">
      <c r="A1288" t="inlineStr">
        <is>
          <t>ORD-10637</t>
        </is>
      </c>
      <c r="B1288" s="10" t="inlineStr">
        <is>
          <t>2025-04-02</t>
        </is>
      </c>
      <c r="C1288" t="inlineStr">
        <is>
          <t>Customer 147</t>
        </is>
      </c>
      <c r="D1288" t="inlineStr">
        <is>
          <t>North</t>
        </is>
      </c>
      <c r="E1288" t="inlineStr">
        <is>
          <t>Furniture</t>
        </is>
      </c>
      <c r="F1288" t="inlineStr">
        <is>
          <t>Bookcase</t>
        </is>
      </c>
      <c r="G1288" t="inlineStr">
        <is>
          <t>First Class</t>
        </is>
      </c>
      <c r="H1288" t="n">
        <v>2</v>
      </c>
      <c r="I1288" s="11" t="n">
        <v>464.25</v>
      </c>
      <c r="J1288" s="12" t="n">
        <v>0.15</v>
      </c>
      <c r="K1288" s="11" t="n">
        <v>789.23</v>
      </c>
      <c r="L1288" s="11" t="n">
        <v>150.47</v>
      </c>
      <c r="M1288" s="12" t="n">
        <v>0.1907</v>
      </c>
    </row>
    <row r="1289">
      <c r="A1289" t="inlineStr">
        <is>
          <t>ORD-10218</t>
        </is>
      </c>
      <c r="B1289" s="10" t="inlineStr">
        <is>
          <t>2025-04-02</t>
        </is>
      </c>
      <c r="C1289" t="inlineStr">
        <is>
          <t>Customer 131</t>
        </is>
      </c>
      <c r="D1289" t="inlineStr">
        <is>
          <t>East</t>
        </is>
      </c>
      <c r="E1289" t="inlineStr">
        <is>
          <t>Technology</t>
        </is>
      </c>
      <c r="F1289" t="inlineStr">
        <is>
          <t>Laptop</t>
        </is>
      </c>
      <c r="G1289" t="inlineStr">
        <is>
          <t>Standard Class</t>
        </is>
      </c>
      <c r="H1289" t="n">
        <v>5</v>
      </c>
      <c r="I1289" s="11" t="n">
        <v>897.99</v>
      </c>
      <c r="J1289" s="12" t="n">
        <v>0.15</v>
      </c>
      <c r="K1289" s="11" t="n">
        <v>3816.46</v>
      </c>
      <c r="L1289" s="11" t="n">
        <v>1143.12</v>
      </c>
      <c r="M1289" s="12" t="n">
        <v>0.2995</v>
      </c>
    </row>
    <row r="1290">
      <c r="A1290" t="inlineStr">
        <is>
          <t>ORD-10747</t>
        </is>
      </c>
      <c r="B1290" s="10" t="inlineStr">
        <is>
          <t>2025-04-02</t>
        </is>
      </c>
      <c r="C1290" t="inlineStr">
        <is>
          <t>Customer 54</t>
        </is>
      </c>
      <c r="D1290" t="inlineStr">
        <is>
          <t>South</t>
        </is>
      </c>
      <c r="E1290" t="inlineStr">
        <is>
          <t>Office Supplies</t>
        </is>
      </c>
      <c r="F1290" t="inlineStr">
        <is>
          <t>Stapler</t>
        </is>
      </c>
      <c r="G1290" t="inlineStr">
        <is>
          <t>Same Day</t>
        </is>
      </c>
      <c r="H1290" t="n">
        <v>3</v>
      </c>
      <c r="I1290" s="11" t="n">
        <v>891.48</v>
      </c>
      <c r="J1290" s="12" t="n">
        <v>0</v>
      </c>
      <c r="K1290" s="11" t="n">
        <v>2674.44</v>
      </c>
      <c r="L1290" s="11" t="n">
        <v>419.29</v>
      </c>
      <c r="M1290" s="12" t="n">
        <v>0.1568</v>
      </c>
    </row>
    <row r="1291">
      <c r="A1291" t="inlineStr">
        <is>
          <t>ORD-10832</t>
        </is>
      </c>
      <c r="B1291" s="10" t="inlineStr">
        <is>
          <t>2025-04-02</t>
        </is>
      </c>
      <c r="C1291" t="inlineStr">
        <is>
          <t>Customer 104</t>
        </is>
      </c>
      <c r="D1291" t="inlineStr">
        <is>
          <t>North</t>
        </is>
      </c>
      <c r="E1291" t="inlineStr">
        <is>
          <t>Technology</t>
        </is>
      </c>
      <c r="F1291" t="inlineStr">
        <is>
          <t>Laptop</t>
        </is>
      </c>
      <c r="G1291" t="inlineStr">
        <is>
          <t>Second Class</t>
        </is>
      </c>
      <c r="H1291" t="n">
        <v>6</v>
      </c>
      <c r="I1291" s="11" t="n">
        <v>1050.5</v>
      </c>
      <c r="J1291" s="12" t="n">
        <v>0</v>
      </c>
      <c r="K1291" s="11" t="n">
        <v>6303</v>
      </c>
      <c r="L1291" s="11" t="n">
        <v>2779.8</v>
      </c>
      <c r="M1291" s="12" t="n">
        <v>0.441</v>
      </c>
    </row>
    <row r="1292">
      <c r="A1292" t="inlineStr">
        <is>
          <t>ORD-10750</t>
        </is>
      </c>
      <c r="B1292" s="10" t="inlineStr">
        <is>
          <t>2025-04-02</t>
        </is>
      </c>
      <c r="C1292" t="inlineStr">
        <is>
          <t>Customer 85</t>
        </is>
      </c>
      <c r="D1292" t="inlineStr">
        <is>
          <t>East</t>
        </is>
      </c>
      <c r="E1292" t="inlineStr">
        <is>
          <t>Technology</t>
        </is>
      </c>
      <c r="F1292" t="inlineStr">
        <is>
          <t>Printer</t>
        </is>
      </c>
      <c r="G1292" t="inlineStr">
        <is>
          <t>First Class</t>
        </is>
      </c>
      <c r="H1292" t="n">
        <v>7</v>
      </c>
      <c r="I1292" s="11" t="n">
        <v>89.61</v>
      </c>
      <c r="J1292" s="12" t="n">
        <v>0</v>
      </c>
      <c r="K1292" s="11" t="n">
        <v>627.27</v>
      </c>
      <c r="L1292" s="11" t="n">
        <v>122.02</v>
      </c>
      <c r="M1292" s="12" t="n">
        <v>0.1945</v>
      </c>
    </row>
    <row r="1293">
      <c r="A1293" t="inlineStr">
        <is>
          <t>ORD-10744</t>
        </is>
      </c>
      <c r="B1293" s="10" t="inlineStr">
        <is>
          <t>2025-04-04</t>
        </is>
      </c>
      <c r="C1293" t="inlineStr">
        <is>
          <t>Customer 26</t>
        </is>
      </c>
      <c r="D1293" t="inlineStr">
        <is>
          <t>East</t>
        </is>
      </c>
      <c r="E1293" t="inlineStr">
        <is>
          <t>Technology</t>
        </is>
      </c>
      <c r="F1293" t="inlineStr">
        <is>
          <t>Wireless Mouse</t>
        </is>
      </c>
      <c r="G1293" t="inlineStr">
        <is>
          <t>Standard Class</t>
        </is>
      </c>
      <c r="H1293" t="n">
        <v>10</v>
      </c>
      <c r="I1293" s="11" t="n">
        <v>946.14</v>
      </c>
      <c r="J1293" s="12" t="n">
        <v>0</v>
      </c>
      <c r="K1293" s="11" t="n">
        <v>9461.4</v>
      </c>
      <c r="L1293" s="11" t="n">
        <v>2641.06</v>
      </c>
      <c r="M1293" s="12" t="n">
        <v>0.2791</v>
      </c>
    </row>
    <row r="1294">
      <c r="A1294" t="inlineStr">
        <is>
          <t>ORD-11060</t>
        </is>
      </c>
      <c r="B1294" s="10" t="inlineStr">
        <is>
          <t>2025-04-04</t>
        </is>
      </c>
      <c r="C1294" t="inlineStr">
        <is>
          <t>Customer 33</t>
        </is>
      </c>
      <c r="D1294" t="inlineStr">
        <is>
          <t>North</t>
        </is>
      </c>
      <c r="E1294" t="inlineStr">
        <is>
          <t>Office Supplies</t>
        </is>
      </c>
      <c r="F1294" t="inlineStr">
        <is>
          <t>Binder</t>
        </is>
      </c>
      <c r="G1294" t="inlineStr">
        <is>
          <t>Standard Class</t>
        </is>
      </c>
      <c r="H1294" t="n">
        <v>11</v>
      </c>
      <c r="I1294" s="11" t="n">
        <v>719.3099999999999</v>
      </c>
      <c r="J1294" s="12" t="n">
        <v>0</v>
      </c>
      <c r="K1294" s="11" t="n">
        <v>7912.41</v>
      </c>
      <c r="L1294" s="11" t="n">
        <v>3941.85</v>
      </c>
      <c r="M1294" s="12" t="n">
        <v>0.4982</v>
      </c>
    </row>
    <row r="1295">
      <c r="A1295" t="inlineStr">
        <is>
          <t>ORD-11430</t>
        </is>
      </c>
      <c r="B1295" s="10" t="inlineStr">
        <is>
          <t>2025-04-04</t>
        </is>
      </c>
      <c r="C1295" t="inlineStr">
        <is>
          <t>Customer 94</t>
        </is>
      </c>
      <c r="D1295" t="inlineStr">
        <is>
          <t>South</t>
        </is>
      </c>
      <c r="E1295" t="inlineStr">
        <is>
          <t>Office Supplies</t>
        </is>
      </c>
      <c r="F1295" t="inlineStr">
        <is>
          <t>Paper</t>
        </is>
      </c>
      <c r="G1295" t="inlineStr">
        <is>
          <t>First Class</t>
        </is>
      </c>
      <c r="H1295" t="n">
        <v>4</v>
      </c>
      <c r="I1295" s="11" t="n">
        <v>1014.6</v>
      </c>
      <c r="J1295" s="12" t="n">
        <v>0</v>
      </c>
      <c r="K1295" s="11" t="n">
        <v>4058.4</v>
      </c>
      <c r="L1295" s="11" t="n">
        <v>1729.24</v>
      </c>
      <c r="M1295" s="12" t="n">
        <v>0.4261</v>
      </c>
    </row>
    <row r="1296">
      <c r="A1296" t="inlineStr">
        <is>
          <t>ORD-10258</t>
        </is>
      </c>
      <c r="B1296" s="10" t="inlineStr">
        <is>
          <t>2025-04-05</t>
        </is>
      </c>
      <c r="C1296" t="inlineStr">
        <is>
          <t>Customer 166</t>
        </is>
      </c>
      <c r="D1296" t="inlineStr">
        <is>
          <t>West</t>
        </is>
      </c>
      <c r="E1296" t="inlineStr">
        <is>
          <t>Furniture</t>
        </is>
      </c>
      <c r="F1296" t="inlineStr">
        <is>
          <t>Table Lamp</t>
        </is>
      </c>
      <c r="G1296" t="inlineStr">
        <is>
          <t>First Class</t>
        </is>
      </c>
      <c r="H1296" t="n">
        <v>1</v>
      </c>
      <c r="I1296" s="11" t="n">
        <v>1059.2</v>
      </c>
      <c r="J1296" s="12" t="n">
        <v>0</v>
      </c>
      <c r="K1296" s="11" t="n">
        <v>1059.2</v>
      </c>
      <c r="L1296" s="11" t="n">
        <v>336.04</v>
      </c>
      <c r="M1296" s="12" t="n">
        <v>0.3173</v>
      </c>
    </row>
    <row r="1297">
      <c r="A1297" t="inlineStr">
        <is>
          <t>ORD-10825</t>
        </is>
      </c>
      <c r="B1297" s="10" t="inlineStr">
        <is>
          <t>2025-04-06</t>
        </is>
      </c>
      <c r="C1297" t="inlineStr">
        <is>
          <t>Customer 157</t>
        </is>
      </c>
      <c r="D1297" t="inlineStr">
        <is>
          <t>North</t>
        </is>
      </c>
      <c r="E1297" t="inlineStr">
        <is>
          <t>Furniture</t>
        </is>
      </c>
      <c r="F1297" t="inlineStr">
        <is>
          <t>Chair</t>
        </is>
      </c>
      <c r="G1297" t="inlineStr">
        <is>
          <t>Standard Class</t>
        </is>
      </c>
      <c r="H1297" t="n">
        <v>8</v>
      </c>
      <c r="I1297" s="11" t="n">
        <v>234.35</v>
      </c>
      <c r="J1297" s="12" t="n">
        <v>0</v>
      </c>
      <c r="K1297" s="11" t="n">
        <v>1874.8</v>
      </c>
      <c r="L1297" s="11" t="n">
        <v>487.71</v>
      </c>
      <c r="M1297" s="12" t="n">
        <v>0.2601</v>
      </c>
    </row>
    <row r="1298">
      <c r="A1298" t="inlineStr">
        <is>
          <t>ORD-11785</t>
        </is>
      </c>
      <c r="B1298" s="10" t="inlineStr">
        <is>
          <t>2025-04-07</t>
        </is>
      </c>
      <c r="C1298" t="inlineStr">
        <is>
          <t>Customer 162</t>
        </is>
      </c>
      <c r="D1298" t="inlineStr">
        <is>
          <t>East</t>
        </is>
      </c>
      <c r="E1298" t="inlineStr">
        <is>
          <t>Office Supplies</t>
        </is>
      </c>
      <c r="F1298" t="inlineStr">
        <is>
          <t>Pens (Box)</t>
        </is>
      </c>
      <c r="G1298" t="inlineStr">
        <is>
          <t>Same Day</t>
        </is>
      </c>
      <c r="H1298" t="n">
        <v>6</v>
      </c>
      <c r="I1298" s="11" t="n">
        <v>984.6</v>
      </c>
      <c r="J1298" s="12" t="n">
        <v>0.15</v>
      </c>
      <c r="K1298" s="11" t="n">
        <v>5021.46</v>
      </c>
      <c r="L1298" s="11" t="n">
        <v>1261.62</v>
      </c>
      <c r="M1298" s="12" t="n">
        <v>0.2512</v>
      </c>
    </row>
    <row r="1299">
      <c r="A1299" t="inlineStr">
        <is>
          <t>ORD-11949</t>
        </is>
      </c>
      <c r="B1299" s="10" t="inlineStr">
        <is>
          <t>2025-04-07</t>
        </is>
      </c>
      <c r="C1299" t="inlineStr">
        <is>
          <t>Customer 95</t>
        </is>
      </c>
      <c r="D1299" t="inlineStr">
        <is>
          <t>West</t>
        </is>
      </c>
      <c r="E1299" t="inlineStr">
        <is>
          <t>Technology</t>
        </is>
      </c>
      <c r="F1299" t="inlineStr">
        <is>
          <t>Wireless Mouse</t>
        </is>
      </c>
      <c r="G1299" t="inlineStr">
        <is>
          <t>Second Class</t>
        </is>
      </c>
      <c r="H1299" t="n">
        <v>8</v>
      </c>
      <c r="I1299" s="11" t="n">
        <v>552.15</v>
      </c>
      <c r="J1299" s="12" t="n">
        <v>0</v>
      </c>
      <c r="K1299" s="11" t="n">
        <v>4417.2</v>
      </c>
      <c r="L1299" s="11" t="n">
        <v>2042.42</v>
      </c>
      <c r="M1299" s="12" t="n">
        <v>0.4624</v>
      </c>
    </row>
    <row r="1300">
      <c r="A1300" t="inlineStr">
        <is>
          <t>ORD-11034</t>
        </is>
      </c>
      <c r="B1300" s="10" t="inlineStr">
        <is>
          <t>2025-04-07</t>
        </is>
      </c>
      <c r="C1300" t="inlineStr">
        <is>
          <t>Customer 179</t>
        </is>
      </c>
      <c r="D1300" t="inlineStr">
        <is>
          <t>West</t>
        </is>
      </c>
      <c r="E1300" t="inlineStr">
        <is>
          <t>Technology</t>
        </is>
      </c>
      <c r="F1300" t="inlineStr">
        <is>
          <t>Laptop</t>
        </is>
      </c>
      <c r="G1300" t="inlineStr">
        <is>
          <t>First Class</t>
        </is>
      </c>
      <c r="H1300" t="n">
        <v>9</v>
      </c>
      <c r="I1300" s="11" t="n">
        <v>232.16</v>
      </c>
      <c r="J1300" s="12" t="n">
        <v>0</v>
      </c>
      <c r="K1300" s="11" t="n">
        <v>2089.44</v>
      </c>
      <c r="L1300" s="11" t="n">
        <v>336.02</v>
      </c>
      <c r="M1300" s="12" t="n">
        <v>0.1608</v>
      </c>
    </row>
    <row r="1301">
      <c r="A1301" t="inlineStr">
        <is>
          <t>ORD-10804</t>
        </is>
      </c>
      <c r="B1301" s="10" t="inlineStr">
        <is>
          <t>2025-04-07</t>
        </is>
      </c>
      <c r="C1301" t="inlineStr">
        <is>
          <t>Customer 117</t>
        </is>
      </c>
      <c r="D1301" t="inlineStr">
        <is>
          <t>North</t>
        </is>
      </c>
      <c r="E1301" t="inlineStr">
        <is>
          <t>Technology</t>
        </is>
      </c>
      <c r="F1301" t="inlineStr">
        <is>
          <t>Laptop</t>
        </is>
      </c>
      <c r="G1301" t="inlineStr">
        <is>
          <t>Standard Class</t>
        </is>
      </c>
      <c r="H1301" t="n">
        <v>9</v>
      </c>
      <c r="I1301" s="11" t="n">
        <v>1037.27</v>
      </c>
      <c r="J1301" s="12" t="n">
        <v>0</v>
      </c>
      <c r="K1301" s="11" t="n">
        <v>9335.43</v>
      </c>
      <c r="L1301" s="11" t="n">
        <v>4193.05</v>
      </c>
      <c r="M1301" s="12" t="n">
        <v>0.4492</v>
      </c>
    </row>
    <row r="1302">
      <c r="A1302" t="inlineStr">
        <is>
          <t>ORD-11974</t>
        </is>
      </c>
      <c r="B1302" s="10" t="inlineStr">
        <is>
          <t>2025-04-08</t>
        </is>
      </c>
      <c r="C1302" t="inlineStr">
        <is>
          <t>Customer 159</t>
        </is>
      </c>
      <c r="D1302" t="inlineStr">
        <is>
          <t>East</t>
        </is>
      </c>
      <c r="E1302" t="inlineStr">
        <is>
          <t>Technology</t>
        </is>
      </c>
      <c r="F1302" t="inlineStr">
        <is>
          <t>Laptop</t>
        </is>
      </c>
      <c r="G1302" t="inlineStr">
        <is>
          <t>First Class</t>
        </is>
      </c>
      <c r="H1302" t="n">
        <v>10</v>
      </c>
      <c r="I1302" s="11" t="n">
        <v>77.37</v>
      </c>
      <c r="J1302" s="12" t="n">
        <v>0</v>
      </c>
      <c r="K1302" s="11" t="n">
        <v>773.7</v>
      </c>
      <c r="L1302" s="11" t="n">
        <v>225.15</v>
      </c>
      <c r="M1302" s="12" t="n">
        <v>0.291</v>
      </c>
    </row>
    <row r="1303">
      <c r="A1303" t="inlineStr">
        <is>
          <t>ORD-10011</t>
        </is>
      </c>
      <c r="B1303" s="10" t="inlineStr">
        <is>
          <t>2025-04-08</t>
        </is>
      </c>
      <c r="C1303" t="inlineStr">
        <is>
          <t>Customer 55</t>
        </is>
      </c>
      <c r="D1303" t="inlineStr">
        <is>
          <t>South</t>
        </is>
      </c>
      <c r="E1303" t="inlineStr">
        <is>
          <t>Technology</t>
        </is>
      </c>
      <c r="F1303" t="inlineStr">
        <is>
          <t>Monitor</t>
        </is>
      </c>
      <c r="G1303" t="inlineStr">
        <is>
          <t>First Class</t>
        </is>
      </c>
      <c r="H1303" t="n">
        <v>10</v>
      </c>
      <c r="I1303" s="11" t="n">
        <v>970.86</v>
      </c>
      <c r="J1303" s="12" t="n">
        <v>0</v>
      </c>
      <c r="K1303" s="11" t="n">
        <v>9708.6</v>
      </c>
      <c r="L1303" s="11" t="n">
        <v>1616.34</v>
      </c>
      <c r="M1303" s="12" t="n">
        <v>0.1665</v>
      </c>
    </row>
    <row r="1304">
      <c r="A1304" t="inlineStr">
        <is>
          <t>ORD-10894</t>
        </is>
      </c>
      <c r="B1304" s="10" t="inlineStr">
        <is>
          <t>2025-04-08</t>
        </is>
      </c>
      <c r="C1304" t="inlineStr">
        <is>
          <t>Customer 52</t>
        </is>
      </c>
      <c r="D1304" t="inlineStr">
        <is>
          <t>North</t>
        </is>
      </c>
      <c r="E1304" t="inlineStr">
        <is>
          <t>Furniture</t>
        </is>
      </c>
      <c r="F1304" t="inlineStr">
        <is>
          <t>Table Lamp</t>
        </is>
      </c>
      <c r="G1304" t="inlineStr">
        <is>
          <t>Same Day</t>
        </is>
      </c>
      <c r="H1304" t="n">
        <v>7</v>
      </c>
      <c r="I1304" s="11" t="n">
        <v>750.12</v>
      </c>
      <c r="J1304" s="12" t="n">
        <v>0</v>
      </c>
      <c r="K1304" s="11" t="n">
        <v>5250.84</v>
      </c>
      <c r="L1304" s="11" t="n">
        <v>2379.74</v>
      </c>
      <c r="M1304" s="12" t="n">
        <v>0.4532</v>
      </c>
    </row>
    <row r="1305">
      <c r="A1305" t="inlineStr">
        <is>
          <t>ORD-11315</t>
        </is>
      </c>
      <c r="B1305" s="10" t="inlineStr">
        <is>
          <t>2025-04-08</t>
        </is>
      </c>
      <c r="C1305" t="inlineStr">
        <is>
          <t>Customer 108</t>
        </is>
      </c>
      <c r="D1305" t="inlineStr">
        <is>
          <t>East</t>
        </is>
      </c>
      <c r="E1305" t="inlineStr">
        <is>
          <t>Office Supplies</t>
        </is>
      </c>
      <c r="F1305" t="inlineStr">
        <is>
          <t>Paper</t>
        </is>
      </c>
      <c r="G1305" t="inlineStr">
        <is>
          <t>Standard Class</t>
        </is>
      </c>
      <c r="H1305" t="n">
        <v>1</v>
      </c>
      <c r="I1305" s="11" t="n">
        <v>386.68</v>
      </c>
      <c r="J1305" s="12" t="n">
        <v>0</v>
      </c>
      <c r="K1305" s="11" t="n">
        <v>386.68</v>
      </c>
      <c r="L1305" s="11" t="n">
        <v>141.99</v>
      </c>
      <c r="M1305" s="12" t="n">
        <v>0.3672</v>
      </c>
    </row>
    <row r="1306">
      <c r="A1306" t="inlineStr">
        <is>
          <t>ORD-11147</t>
        </is>
      </c>
      <c r="B1306" s="10" t="inlineStr">
        <is>
          <t>2025-04-08</t>
        </is>
      </c>
      <c r="C1306" t="inlineStr">
        <is>
          <t>Customer 146</t>
        </is>
      </c>
      <c r="D1306" t="inlineStr">
        <is>
          <t>West</t>
        </is>
      </c>
      <c r="E1306" t="inlineStr">
        <is>
          <t>Furniture</t>
        </is>
      </c>
      <c r="F1306" t="inlineStr">
        <is>
          <t>Desk</t>
        </is>
      </c>
      <c r="G1306" t="inlineStr">
        <is>
          <t>Same Day</t>
        </is>
      </c>
      <c r="H1306" t="n">
        <v>10</v>
      </c>
      <c r="I1306" s="11" t="n">
        <v>807.1799999999999</v>
      </c>
      <c r="J1306" s="12" t="n">
        <v>0</v>
      </c>
      <c r="K1306" s="11" t="n">
        <v>8071.8</v>
      </c>
      <c r="L1306" s="11" t="n">
        <v>3411.09</v>
      </c>
      <c r="M1306" s="12" t="n">
        <v>0.4226</v>
      </c>
    </row>
    <row r="1307">
      <c r="A1307" t="inlineStr">
        <is>
          <t>ORD-10056</t>
        </is>
      </c>
      <c r="B1307" s="10" t="inlineStr">
        <is>
          <t>2025-04-09</t>
        </is>
      </c>
      <c r="C1307" t="inlineStr">
        <is>
          <t>Customer 142</t>
        </is>
      </c>
      <c r="D1307" t="inlineStr">
        <is>
          <t>North</t>
        </is>
      </c>
      <c r="E1307" t="inlineStr">
        <is>
          <t>Technology</t>
        </is>
      </c>
      <c r="F1307" t="inlineStr">
        <is>
          <t>Wireless Mouse</t>
        </is>
      </c>
      <c r="G1307" t="inlineStr">
        <is>
          <t>Second Class</t>
        </is>
      </c>
      <c r="H1307" t="n">
        <v>3</v>
      </c>
      <c r="I1307" s="11" t="n">
        <v>689.03</v>
      </c>
      <c r="J1307" s="12" t="n">
        <v>0</v>
      </c>
      <c r="K1307" s="11" t="n">
        <v>2067.09</v>
      </c>
      <c r="L1307" s="11" t="n">
        <v>349.11</v>
      </c>
      <c r="M1307" s="12" t="n">
        <v>0.1689</v>
      </c>
    </row>
    <row r="1308">
      <c r="A1308" t="inlineStr">
        <is>
          <t>ORD-11471</t>
        </is>
      </c>
      <c r="B1308" s="10" t="inlineStr">
        <is>
          <t>2025-04-09</t>
        </is>
      </c>
      <c r="C1308" t="inlineStr">
        <is>
          <t>Customer 176</t>
        </is>
      </c>
      <c r="D1308" t="inlineStr">
        <is>
          <t>South</t>
        </is>
      </c>
      <c r="E1308" t="inlineStr">
        <is>
          <t>Office Supplies</t>
        </is>
      </c>
      <c r="F1308" t="inlineStr">
        <is>
          <t>Paper</t>
        </is>
      </c>
      <c r="G1308" t="inlineStr">
        <is>
          <t>Second Class</t>
        </is>
      </c>
      <c r="H1308" t="n">
        <v>5</v>
      </c>
      <c r="I1308" s="11" t="n">
        <v>62.47</v>
      </c>
      <c r="J1308" s="12" t="n">
        <v>0.2</v>
      </c>
      <c r="K1308" s="11" t="n">
        <v>249.88</v>
      </c>
      <c r="L1308" s="11" t="n">
        <v>50.43</v>
      </c>
      <c r="M1308" s="12" t="n">
        <v>0.2018</v>
      </c>
    </row>
    <row r="1309">
      <c r="A1309" t="inlineStr">
        <is>
          <t>ORD-11263</t>
        </is>
      </c>
      <c r="B1309" s="10" t="inlineStr">
        <is>
          <t>2025-04-09</t>
        </is>
      </c>
      <c r="C1309" t="inlineStr">
        <is>
          <t>Customer 193</t>
        </is>
      </c>
      <c r="D1309" t="inlineStr">
        <is>
          <t>East</t>
        </is>
      </c>
      <c r="E1309" t="inlineStr">
        <is>
          <t>Technology</t>
        </is>
      </c>
      <c r="F1309" t="inlineStr">
        <is>
          <t>Wireless Mouse</t>
        </is>
      </c>
      <c r="G1309" t="inlineStr">
        <is>
          <t>Standard Class</t>
        </is>
      </c>
      <c r="H1309" t="n">
        <v>9</v>
      </c>
      <c r="I1309" s="11" t="n">
        <v>147.72</v>
      </c>
      <c r="J1309" s="12" t="n">
        <v>0.1</v>
      </c>
      <c r="K1309" s="11" t="n">
        <v>1196.53</v>
      </c>
      <c r="L1309" s="11" t="n">
        <v>221.26</v>
      </c>
      <c r="M1309" s="12" t="n">
        <v>0.1849</v>
      </c>
    </row>
    <row r="1310">
      <c r="A1310" t="inlineStr">
        <is>
          <t>ORD-10713</t>
        </is>
      </c>
      <c r="B1310" s="10" t="inlineStr">
        <is>
          <t>2025-04-10</t>
        </is>
      </c>
      <c r="C1310" t="inlineStr">
        <is>
          <t>Customer 5</t>
        </is>
      </c>
      <c r="D1310" t="inlineStr">
        <is>
          <t>South</t>
        </is>
      </c>
      <c r="E1310" t="inlineStr">
        <is>
          <t>Technology</t>
        </is>
      </c>
      <c r="F1310" t="inlineStr">
        <is>
          <t>Wireless Mouse</t>
        </is>
      </c>
      <c r="G1310" t="inlineStr">
        <is>
          <t>Same Day</t>
        </is>
      </c>
      <c r="H1310" t="n">
        <v>5</v>
      </c>
      <c r="I1310" s="11" t="n">
        <v>383.17</v>
      </c>
      <c r="J1310" s="12" t="n">
        <v>0.2</v>
      </c>
      <c r="K1310" s="11" t="n">
        <v>1532.68</v>
      </c>
      <c r="L1310" s="11" t="n">
        <v>344.58</v>
      </c>
      <c r="M1310" s="12" t="n">
        <v>0.2248</v>
      </c>
    </row>
    <row r="1311">
      <c r="A1311" t="inlineStr">
        <is>
          <t>ORD-11443</t>
        </is>
      </c>
      <c r="B1311" s="10" t="inlineStr">
        <is>
          <t>2025-04-10</t>
        </is>
      </c>
      <c r="C1311" t="inlineStr">
        <is>
          <t>Customer 191</t>
        </is>
      </c>
      <c r="D1311" t="inlineStr">
        <is>
          <t>East</t>
        </is>
      </c>
      <c r="E1311" t="inlineStr">
        <is>
          <t>Furniture</t>
        </is>
      </c>
      <c r="F1311" t="inlineStr">
        <is>
          <t>Table Lamp</t>
        </is>
      </c>
      <c r="G1311" t="inlineStr">
        <is>
          <t>Same Day</t>
        </is>
      </c>
      <c r="H1311" t="n">
        <v>5</v>
      </c>
      <c r="I1311" s="11" t="n">
        <v>1170.14</v>
      </c>
      <c r="J1311" s="12" t="n">
        <v>0</v>
      </c>
      <c r="K1311" s="11" t="n">
        <v>5850.7</v>
      </c>
      <c r="L1311" s="11" t="n">
        <v>1379.86</v>
      </c>
      <c r="M1311" s="12" t="n">
        <v>0.2358</v>
      </c>
    </row>
    <row r="1312">
      <c r="A1312" t="inlineStr">
        <is>
          <t>ORD-10072</t>
        </is>
      </c>
      <c r="B1312" s="10" t="inlineStr">
        <is>
          <t>2025-04-10</t>
        </is>
      </c>
      <c r="C1312" t="inlineStr">
        <is>
          <t>Customer 95</t>
        </is>
      </c>
      <c r="D1312" t="inlineStr">
        <is>
          <t>West</t>
        </is>
      </c>
      <c r="E1312" t="inlineStr">
        <is>
          <t>Office Supplies</t>
        </is>
      </c>
      <c r="F1312" t="inlineStr">
        <is>
          <t>Pens (Box)</t>
        </is>
      </c>
      <c r="G1312" t="inlineStr">
        <is>
          <t>Standard Class</t>
        </is>
      </c>
      <c r="H1312" t="n">
        <v>10</v>
      </c>
      <c r="I1312" s="11" t="n">
        <v>780.73</v>
      </c>
      <c r="J1312" s="12" t="n">
        <v>0.1</v>
      </c>
      <c r="K1312" s="11" t="n">
        <v>7026.57</v>
      </c>
      <c r="L1312" s="11" t="n">
        <v>1038.25</v>
      </c>
      <c r="M1312" s="12" t="n">
        <v>0.1478</v>
      </c>
    </row>
    <row r="1313">
      <c r="A1313" t="inlineStr">
        <is>
          <t>ORD-10625</t>
        </is>
      </c>
      <c r="B1313" s="10" t="inlineStr">
        <is>
          <t>2025-04-10</t>
        </is>
      </c>
      <c r="C1313" t="inlineStr">
        <is>
          <t>Customer 6</t>
        </is>
      </c>
      <c r="D1313" t="inlineStr">
        <is>
          <t>West</t>
        </is>
      </c>
      <c r="E1313" t="inlineStr">
        <is>
          <t>Office Supplies</t>
        </is>
      </c>
      <c r="F1313" t="inlineStr">
        <is>
          <t>Paper</t>
        </is>
      </c>
      <c r="G1313" t="inlineStr">
        <is>
          <t>First Class</t>
        </is>
      </c>
      <c r="H1313" t="n">
        <v>1</v>
      </c>
      <c r="I1313" s="11" t="n">
        <v>543.86</v>
      </c>
      <c r="J1313" s="12" t="n">
        <v>0</v>
      </c>
      <c r="K1313" s="11" t="n">
        <v>543.86</v>
      </c>
      <c r="L1313" s="11" t="n">
        <v>172.23</v>
      </c>
      <c r="M1313" s="12" t="n">
        <v>0.3167</v>
      </c>
    </row>
    <row r="1314">
      <c r="A1314" t="inlineStr">
        <is>
          <t>ORD-10271</t>
        </is>
      </c>
      <c r="B1314" s="10" t="inlineStr">
        <is>
          <t>2025-04-11</t>
        </is>
      </c>
      <c r="C1314" t="inlineStr">
        <is>
          <t>Customer 79</t>
        </is>
      </c>
      <c r="D1314" t="inlineStr">
        <is>
          <t>East</t>
        </is>
      </c>
      <c r="E1314" t="inlineStr">
        <is>
          <t>Office Supplies</t>
        </is>
      </c>
      <c r="F1314" t="inlineStr">
        <is>
          <t>Pens (Box)</t>
        </is>
      </c>
      <c r="G1314" t="inlineStr">
        <is>
          <t>Same Day</t>
        </is>
      </c>
      <c r="H1314" t="n">
        <v>3</v>
      </c>
      <c r="I1314" s="11" t="n">
        <v>347.84</v>
      </c>
      <c r="J1314" s="12" t="n">
        <v>0</v>
      </c>
      <c r="K1314" s="11" t="n">
        <v>1043.52</v>
      </c>
      <c r="L1314" s="11" t="n">
        <v>425.75</v>
      </c>
      <c r="M1314" s="12" t="n">
        <v>0.408</v>
      </c>
    </row>
    <row r="1315">
      <c r="A1315" t="inlineStr">
        <is>
          <t>ORD-10626</t>
        </is>
      </c>
      <c r="B1315" s="10" t="inlineStr">
        <is>
          <t>2025-04-11</t>
        </is>
      </c>
      <c r="C1315" t="inlineStr">
        <is>
          <t>Customer 175</t>
        </is>
      </c>
      <c r="D1315" t="inlineStr">
        <is>
          <t>East</t>
        </is>
      </c>
      <c r="E1315" t="inlineStr">
        <is>
          <t>Furniture</t>
        </is>
      </c>
      <c r="F1315" t="inlineStr">
        <is>
          <t>Desk</t>
        </is>
      </c>
      <c r="G1315" t="inlineStr">
        <is>
          <t>First Class</t>
        </is>
      </c>
      <c r="H1315" t="n">
        <v>2</v>
      </c>
      <c r="I1315" s="11" t="n">
        <v>302.41</v>
      </c>
      <c r="J1315" s="12" t="n">
        <v>0</v>
      </c>
      <c r="K1315" s="11" t="n">
        <v>604.8200000000001</v>
      </c>
      <c r="L1315" s="11" t="n">
        <v>216.86</v>
      </c>
      <c r="M1315" s="12" t="n">
        <v>0.3586</v>
      </c>
    </row>
    <row r="1316">
      <c r="A1316" t="inlineStr">
        <is>
          <t>ORD-10964</t>
        </is>
      </c>
      <c r="B1316" s="10" t="inlineStr">
        <is>
          <t>2025-04-11</t>
        </is>
      </c>
      <c r="C1316" t="inlineStr">
        <is>
          <t>Customer 172</t>
        </is>
      </c>
      <c r="D1316" t="inlineStr">
        <is>
          <t>North</t>
        </is>
      </c>
      <c r="E1316" t="inlineStr">
        <is>
          <t>Technology</t>
        </is>
      </c>
      <c r="F1316" t="inlineStr">
        <is>
          <t>Monitor</t>
        </is>
      </c>
      <c r="G1316" t="inlineStr">
        <is>
          <t>Second Class</t>
        </is>
      </c>
      <c r="H1316" t="n">
        <v>2</v>
      </c>
      <c r="I1316" s="11" t="n">
        <v>626.46</v>
      </c>
      <c r="J1316" s="12" t="n">
        <v>0</v>
      </c>
      <c r="K1316" s="11" t="n">
        <v>1252.92</v>
      </c>
      <c r="L1316" s="11" t="n">
        <v>245.29</v>
      </c>
      <c r="M1316" s="12" t="n">
        <v>0.1958</v>
      </c>
    </row>
    <row r="1317">
      <c r="A1317" t="inlineStr">
        <is>
          <t>ORD-11029</t>
        </is>
      </c>
      <c r="B1317" s="10" t="inlineStr">
        <is>
          <t>2025-04-12</t>
        </is>
      </c>
      <c r="C1317" t="inlineStr">
        <is>
          <t>Customer 196</t>
        </is>
      </c>
      <c r="D1317" t="inlineStr">
        <is>
          <t>North</t>
        </is>
      </c>
      <c r="E1317" t="inlineStr">
        <is>
          <t>Technology</t>
        </is>
      </c>
      <c r="F1317" t="inlineStr">
        <is>
          <t>Monitor</t>
        </is>
      </c>
      <c r="G1317" t="inlineStr">
        <is>
          <t>First Class</t>
        </is>
      </c>
      <c r="H1317" t="n">
        <v>1</v>
      </c>
      <c r="I1317" s="11" t="n">
        <v>788.15</v>
      </c>
      <c r="J1317" s="12" t="n">
        <v>0</v>
      </c>
      <c r="K1317" s="11" t="n">
        <v>788.15</v>
      </c>
      <c r="L1317" s="11" t="n">
        <v>269.11</v>
      </c>
      <c r="M1317" s="12" t="n">
        <v>0.3414</v>
      </c>
    </row>
    <row r="1318">
      <c r="A1318" t="inlineStr">
        <is>
          <t>ORD-11405</t>
        </is>
      </c>
      <c r="B1318" s="10" t="inlineStr">
        <is>
          <t>2025-04-12</t>
        </is>
      </c>
      <c r="C1318" t="inlineStr">
        <is>
          <t>Customer 26</t>
        </is>
      </c>
      <c r="D1318" t="inlineStr">
        <is>
          <t>East</t>
        </is>
      </c>
      <c r="E1318" t="inlineStr">
        <is>
          <t>Office Supplies</t>
        </is>
      </c>
      <c r="F1318" t="inlineStr">
        <is>
          <t>Paper</t>
        </is>
      </c>
      <c r="G1318" t="inlineStr">
        <is>
          <t>Same Day</t>
        </is>
      </c>
      <c r="H1318" t="n">
        <v>9</v>
      </c>
      <c r="I1318" s="11" t="n">
        <v>939.1</v>
      </c>
      <c r="J1318" s="12" t="n">
        <v>0</v>
      </c>
      <c r="K1318" s="11" t="n">
        <v>8451.9</v>
      </c>
      <c r="L1318" s="11" t="n">
        <v>4030.94</v>
      </c>
      <c r="M1318" s="12" t="n">
        <v>0.4769</v>
      </c>
    </row>
    <row r="1319">
      <c r="A1319" t="inlineStr">
        <is>
          <t>ORD-10737</t>
        </is>
      </c>
      <c r="B1319" s="10" t="inlineStr">
        <is>
          <t>2025-04-12</t>
        </is>
      </c>
      <c r="C1319" t="inlineStr">
        <is>
          <t>Customer 47</t>
        </is>
      </c>
      <c r="D1319" t="inlineStr">
        <is>
          <t>South</t>
        </is>
      </c>
      <c r="E1319" t="inlineStr">
        <is>
          <t>Office Supplies</t>
        </is>
      </c>
      <c r="F1319" t="inlineStr">
        <is>
          <t>Paper</t>
        </is>
      </c>
      <c r="G1319" t="inlineStr">
        <is>
          <t>Second Class</t>
        </is>
      </c>
      <c r="H1319" t="n">
        <v>10</v>
      </c>
      <c r="I1319" s="11" t="n">
        <v>135.32</v>
      </c>
      <c r="J1319" s="12" t="n">
        <v>0.1</v>
      </c>
      <c r="K1319" s="11" t="n">
        <v>1217.88</v>
      </c>
      <c r="L1319" s="11" t="n">
        <v>354.75</v>
      </c>
      <c r="M1319" s="12" t="n">
        <v>0.2913</v>
      </c>
    </row>
    <row r="1320">
      <c r="A1320" t="inlineStr">
        <is>
          <t>ORD-11185</t>
        </is>
      </c>
      <c r="B1320" s="10" t="inlineStr">
        <is>
          <t>2025-04-13</t>
        </is>
      </c>
      <c r="C1320" t="inlineStr">
        <is>
          <t>Customer 127</t>
        </is>
      </c>
      <c r="D1320" t="inlineStr">
        <is>
          <t>North</t>
        </is>
      </c>
      <c r="E1320" t="inlineStr">
        <is>
          <t>Furniture</t>
        </is>
      </c>
      <c r="F1320" t="inlineStr">
        <is>
          <t>Table Lamp</t>
        </is>
      </c>
      <c r="G1320" t="inlineStr">
        <is>
          <t>Same Day</t>
        </is>
      </c>
      <c r="H1320" t="n">
        <v>10</v>
      </c>
      <c r="I1320" s="11" t="n">
        <v>458.56</v>
      </c>
      <c r="J1320" s="12" t="n">
        <v>0</v>
      </c>
      <c r="K1320" s="11" t="n">
        <v>4585.6</v>
      </c>
      <c r="L1320" s="11" t="n">
        <v>1979.64</v>
      </c>
      <c r="M1320" s="12" t="n">
        <v>0.4317</v>
      </c>
    </row>
    <row r="1321">
      <c r="A1321" t="inlineStr">
        <is>
          <t>ORD-10369</t>
        </is>
      </c>
      <c r="B1321" s="10" t="inlineStr">
        <is>
          <t>2025-04-13</t>
        </is>
      </c>
      <c r="C1321" t="inlineStr">
        <is>
          <t>Customer 165</t>
        </is>
      </c>
      <c r="D1321" t="inlineStr">
        <is>
          <t>South</t>
        </is>
      </c>
      <c r="E1321" t="inlineStr">
        <is>
          <t>Furniture</t>
        </is>
      </c>
      <c r="F1321" t="inlineStr">
        <is>
          <t>Table Lamp</t>
        </is>
      </c>
      <c r="G1321" t="inlineStr">
        <is>
          <t>First Class</t>
        </is>
      </c>
      <c r="H1321" t="n">
        <v>11</v>
      </c>
      <c r="I1321" s="11" t="n">
        <v>1060.98</v>
      </c>
      <c r="J1321" s="12" t="n">
        <v>0</v>
      </c>
      <c r="K1321" s="11" t="n">
        <v>11670.78</v>
      </c>
      <c r="L1321" s="11" t="n">
        <v>3579.56</v>
      </c>
      <c r="M1321" s="12" t="n">
        <v>0.3067</v>
      </c>
    </row>
    <row r="1322">
      <c r="A1322" t="inlineStr">
        <is>
          <t>ORD-10957</t>
        </is>
      </c>
      <c r="B1322" s="10" t="inlineStr">
        <is>
          <t>2025-04-13</t>
        </is>
      </c>
      <c r="C1322" t="inlineStr">
        <is>
          <t>Customer 16</t>
        </is>
      </c>
      <c r="D1322" t="inlineStr">
        <is>
          <t>West</t>
        </is>
      </c>
      <c r="E1322" t="inlineStr">
        <is>
          <t>Office Supplies</t>
        </is>
      </c>
      <c r="F1322" t="inlineStr">
        <is>
          <t>Paper</t>
        </is>
      </c>
      <c r="G1322" t="inlineStr">
        <is>
          <t>Same Day</t>
        </is>
      </c>
      <c r="H1322" t="n">
        <v>6</v>
      </c>
      <c r="I1322" s="11" t="n">
        <v>640.14</v>
      </c>
      <c r="J1322" s="12" t="n">
        <v>0.1</v>
      </c>
      <c r="K1322" s="11" t="n">
        <v>3456.76</v>
      </c>
      <c r="L1322" s="11" t="n">
        <v>879.33</v>
      </c>
      <c r="M1322" s="12" t="n">
        <v>0.2544</v>
      </c>
    </row>
    <row r="1323">
      <c r="A1323" t="inlineStr">
        <is>
          <t>ORD-10581</t>
        </is>
      </c>
      <c r="B1323" s="10" t="inlineStr">
        <is>
          <t>2025-04-13</t>
        </is>
      </c>
      <c r="C1323" t="inlineStr">
        <is>
          <t>Customer 111</t>
        </is>
      </c>
      <c r="D1323" t="inlineStr">
        <is>
          <t>South</t>
        </is>
      </c>
      <c r="E1323" t="inlineStr">
        <is>
          <t>Technology</t>
        </is>
      </c>
      <c r="F1323" t="inlineStr">
        <is>
          <t>Wireless Mouse</t>
        </is>
      </c>
      <c r="G1323" t="inlineStr">
        <is>
          <t>Standard Class</t>
        </is>
      </c>
      <c r="H1323" t="n">
        <v>3</v>
      </c>
      <c r="I1323" s="11" t="n">
        <v>138.27</v>
      </c>
      <c r="J1323" s="12" t="n">
        <v>0</v>
      </c>
      <c r="K1323" s="11" t="n">
        <v>414.81</v>
      </c>
      <c r="L1323" s="11" t="n">
        <v>62.36</v>
      </c>
      <c r="M1323" s="12" t="n">
        <v>0.1503</v>
      </c>
    </row>
    <row r="1324">
      <c r="A1324" t="inlineStr">
        <is>
          <t>ORD-11114</t>
        </is>
      </c>
      <c r="B1324" s="10" t="inlineStr">
        <is>
          <t>2025-04-13</t>
        </is>
      </c>
      <c r="C1324" t="inlineStr">
        <is>
          <t>Customer 119</t>
        </is>
      </c>
      <c r="D1324" t="inlineStr">
        <is>
          <t>North</t>
        </is>
      </c>
      <c r="E1324" t="inlineStr">
        <is>
          <t>Office Supplies</t>
        </is>
      </c>
      <c r="F1324" t="inlineStr">
        <is>
          <t>Pens (Box)</t>
        </is>
      </c>
      <c r="G1324" t="inlineStr">
        <is>
          <t>First Class</t>
        </is>
      </c>
      <c r="H1324" t="n">
        <v>3</v>
      </c>
      <c r="I1324" s="11" t="n">
        <v>588.46</v>
      </c>
      <c r="J1324" s="12" t="n">
        <v>0</v>
      </c>
      <c r="K1324" s="11" t="n">
        <v>1765.38</v>
      </c>
      <c r="L1324" s="11" t="n">
        <v>325.41</v>
      </c>
      <c r="M1324" s="12" t="n">
        <v>0.1843</v>
      </c>
    </row>
    <row r="1325">
      <c r="A1325" t="inlineStr">
        <is>
          <t>ORD-10378</t>
        </is>
      </c>
      <c r="B1325" s="10" t="inlineStr">
        <is>
          <t>2025-04-14</t>
        </is>
      </c>
      <c r="C1325" t="inlineStr">
        <is>
          <t>Customer 43</t>
        </is>
      </c>
      <c r="D1325" t="inlineStr">
        <is>
          <t>East</t>
        </is>
      </c>
      <c r="E1325" t="inlineStr">
        <is>
          <t>Furniture</t>
        </is>
      </c>
      <c r="F1325" t="inlineStr">
        <is>
          <t>Desk</t>
        </is>
      </c>
      <c r="G1325" t="inlineStr">
        <is>
          <t>Standard Class</t>
        </is>
      </c>
      <c r="H1325" t="n">
        <v>2</v>
      </c>
      <c r="I1325" s="11" t="n">
        <v>1140.25</v>
      </c>
      <c r="J1325" s="12" t="n">
        <v>0</v>
      </c>
      <c r="K1325" s="11" t="n">
        <v>2280.5</v>
      </c>
      <c r="L1325" s="11" t="n">
        <v>587.3</v>
      </c>
      <c r="M1325" s="12" t="n">
        <v>0.2575</v>
      </c>
    </row>
    <row r="1326">
      <c r="A1326" t="inlineStr">
        <is>
          <t>ORD-10665</t>
        </is>
      </c>
      <c r="B1326" s="10" t="inlineStr">
        <is>
          <t>2025-04-14</t>
        </is>
      </c>
      <c r="C1326" t="inlineStr">
        <is>
          <t>Customer 88</t>
        </is>
      </c>
      <c r="D1326" t="inlineStr">
        <is>
          <t>South</t>
        </is>
      </c>
      <c r="E1326" t="inlineStr">
        <is>
          <t>Technology</t>
        </is>
      </c>
      <c r="F1326" t="inlineStr">
        <is>
          <t>Wireless Mouse</t>
        </is>
      </c>
      <c r="G1326" t="inlineStr">
        <is>
          <t>First Class</t>
        </is>
      </c>
      <c r="H1326" t="n">
        <v>1</v>
      </c>
      <c r="I1326" s="11" t="n">
        <v>7.67</v>
      </c>
      <c r="J1326" s="12" t="n">
        <v>0</v>
      </c>
      <c r="K1326" s="11" t="n">
        <v>7.67</v>
      </c>
      <c r="L1326" s="11" t="n">
        <v>3.02</v>
      </c>
      <c r="M1326" s="12" t="n">
        <v>0.3937</v>
      </c>
    </row>
    <row r="1327">
      <c r="A1327" t="inlineStr">
        <is>
          <t>ORD-10879</t>
        </is>
      </c>
      <c r="B1327" s="10" t="inlineStr">
        <is>
          <t>2025-04-15</t>
        </is>
      </c>
      <c r="C1327" t="inlineStr">
        <is>
          <t>Customer 137</t>
        </is>
      </c>
      <c r="D1327" t="inlineStr">
        <is>
          <t>East</t>
        </is>
      </c>
      <c r="E1327" t="inlineStr">
        <is>
          <t>Office Supplies</t>
        </is>
      </c>
      <c r="F1327" t="inlineStr">
        <is>
          <t>Binder</t>
        </is>
      </c>
      <c r="G1327" t="inlineStr">
        <is>
          <t>First Class</t>
        </is>
      </c>
      <c r="H1327" t="n">
        <v>1</v>
      </c>
      <c r="I1327" s="11" t="n">
        <v>907.17</v>
      </c>
      <c r="J1327" s="12" t="n">
        <v>0</v>
      </c>
      <c r="K1327" s="11" t="n">
        <v>907.17</v>
      </c>
      <c r="L1327" s="11" t="n">
        <v>429.87</v>
      </c>
      <c r="M1327" s="12" t="n">
        <v>0.4739</v>
      </c>
    </row>
    <row r="1328">
      <c r="A1328" t="inlineStr">
        <is>
          <t>ORD-11316</t>
        </is>
      </c>
      <c r="B1328" s="10" t="inlineStr">
        <is>
          <t>2025-04-15</t>
        </is>
      </c>
      <c r="C1328" t="inlineStr">
        <is>
          <t>Customer 136</t>
        </is>
      </c>
      <c r="D1328" t="inlineStr">
        <is>
          <t>South</t>
        </is>
      </c>
      <c r="E1328" t="inlineStr">
        <is>
          <t>Technology</t>
        </is>
      </c>
      <c r="F1328" t="inlineStr">
        <is>
          <t>Monitor</t>
        </is>
      </c>
      <c r="G1328" t="inlineStr">
        <is>
          <t>Standard Class</t>
        </is>
      </c>
      <c r="H1328" t="n">
        <v>6</v>
      </c>
      <c r="I1328" s="11" t="n">
        <v>643.55</v>
      </c>
      <c r="J1328" s="12" t="n">
        <v>0</v>
      </c>
      <c r="K1328" s="11" t="n">
        <v>312.14</v>
      </c>
      <c r="L1328" s="11" t="n">
        <v>646.9449999999999</v>
      </c>
      <c r="M1328" s="12" t="n">
        <v>2.0726</v>
      </c>
    </row>
    <row r="1329">
      <c r="A1329" t="inlineStr">
        <is>
          <t>ORD-10810</t>
        </is>
      </c>
      <c r="B1329" s="10" t="inlineStr">
        <is>
          <t>2025-04-15</t>
        </is>
      </c>
      <c r="C1329" t="inlineStr">
        <is>
          <t>Customer 38</t>
        </is>
      </c>
      <c r="D1329" t="inlineStr">
        <is>
          <t>West</t>
        </is>
      </c>
      <c r="E1329" t="inlineStr">
        <is>
          <t>Furniture</t>
        </is>
      </c>
      <c r="F1329" t="inlineStr">
        <is>
          <t>Table Lamp</t>
        </is>
      </c>
      <c r="G1329" t="inlineStr">
        <is>
          <t>Same Day</t>
        </is>
      </c>
      <c r="H1329" t="n">
        <v>5</v>
      </c>
      <c r="I1329" s="11" t="n">
        <v>97.33</v>
      </c>
      <c r="J1329" s="12" t="n">
        <v>0</v>
      </c>
      <c r="K1329" s="11" t="n">
        <v>486.65</v>
      </c>
      <c r="L1329" s="11" t="n">
        <v>90</v>
      </c>
      <c r="M1329" s="12" t="n">
        <v>0.1849</v>
      </c>
    </row>
    <row r="1330">
      <c r="A1330" t="inlineStr">
        <is>
          <t>ORD-10895</t>
        </is>
      </c>
      <c r="B1330" s="10" t="inlineStr">
        <is>
          <t>2025-04-16</t>
        </is>
      </c>
      <c r="C1330" t="inlineStr">
        <is>
          <t>Customer 167</t>
        </is>
      </c>
      <c r="D1330" t="inlineStr">
        <is>
          <t>South</t>
        </is>
      </c>
      <c r="E1330" t="inlineStr">
        <is>
          <t>Furniture</t>
        </is>
      </c>
      <c r="F1330" t="inlineStr">
        <is>
          <t>Bookcase</t>
        </is>
      </c>
      <c r="G1330" t="inlineStr">
        <is>
          <t>Same Day</t>
        </is>
      </c>
      <c r="H1330" t="n">
        <v>6</v>
      </c>
      <c r="I1330" s="11" t="n">
        <v>330.72</v>
      </c>
      <c r="J1330" s="12" t="n">
        <v>0</v>
      </c>
      <c r="K1330" s="11" t="n">
        <v>1984.32</v>
      </c>
      <c r="L1330" s="11" t="n">
        <v>579.21</v>
      </c>
      <c r="M1330" s="12" t="n">
        <v>0.2919</v>
      </c>
    </row>
    <row r="1331">
      <c r="A1331" t="inlineStr">
        <is>
          <t>ORD-10820</t>
        </is>
      </c>
      <c r="B1331" s="10" t="inlineStr">
        <is>
          <t>2025-04-16</t>
        </is>
      </c>
      <c r="C1331" t="inlineStr">
        <is>
          <t>Customer 2</t>
        </is>
      </c>
      <c r="D1331" t="inlineStr">
        <is>
          <t>West</t>
        </is>
      </c>
      <c r="E1331" t="inlineStr">
        <is>
          <t>Office Supplies</t>
        </is>
      </c>
      <c r="F1331" t="inlineStr">
        <is>
          <t>Pens (Box)</t>
        </is>
      </c>
      <c r="G1331" t="inlineStr">
        <is>
          <t>First Class</t>
        </is>
      </c>
      <c r="H1331" t="n">
        <v>2</v>
      </c>
      <c r="I1331" s="11" t="n">
        <v>1141.03</v>
      </c>
      <c r="J1331" s="12" t="n">
        <v>0.15</v>
      </c>
      <c r="K1331" s="11" t="n">
        <v>1939.75</v>
      </c>
      <c r="L1331" s="11" t="n">
        <v>57.64</v>
      </c>
      <c r="M1331" s="12" t="n">
        <v>0.0297</v>
      </c>
    </row>
    <row r="1332">
      <c r="A1332" t="inlineStr">
        <is>
          <t>ORD-10336</t>
        </is>
      </c>
      <c r="B1332" s="10" t="inlineStr">
        <is>
          <t>2025-04-18</t>
        </is>
      </c>
      <c r="C1332" t="inlineStr">
        <is>
          <t>Customer 92</t>
        </is>
      </c>
      <c r="D1332" t="inlineStr">
        <is>
          <t>West</t>
        </is>
      </c>
      <c r="E1332" t="inlineStr">
        <is>
          <t>Furniture</t>
        </is>
      </c>
      <c r="F1332" t="inlineStr">
        <is>
          <t>Table Lamp</t>
        </is>
      </c>
      <c r="G1332" t="inlineStr">
        <is>
          <t>First Class</t>
        </is>
      </c>
      <c r="H1332" t="n">
        <v>9</v>
      </c>
      <c r="I1332" s="11" t="n">
        <v>507.17</v>
      </c>
      <c r="J1332" s="12" t="n">
        <v>0</v>
      </c>
      <c r="K1332" s="11" t="n">
        <v>4564.53</v>
      </c>
      <c r="L1332" s="11" t="n">
        <v>1740.65</v>
      </c>
      <c r="M1332" s="12" t="n">
        <v>0.3813</v>
      </c>
    </row>
    <row r="1333">
      <c r="A1333" t="inlineStr">
        <is>
          <t>ORD-11042</t>
        </is>
      </c>
      <c r="B1333" s="10" t="inlineStr">
        <is>
          <t>2025-04-18</t>
        </is>
      </c>
      <c r="C1333" t="inlineStr">
        <is>
          <t>Customer 52</t>
        </is>
      </c>
      <c r="D1333" t="inlineStr">
        <is>
          <t>North</t>
        </is>
      </c>
      <c r="E1333" t="inlineStr">
        <is>
          <t>Office Supplies</t>
        </is>
      </c>
      <c r="F1333" t="inlineStr">
        <is>
          <t>Paper</t>
        </is>
      </c>
      <c r="G1333" t="inlineStr">
        <is>
          <t>Second Class</t>
        </is>
      </c>
      <c r="H1333" t="n">
        <v>6</v>
      </c>
      <c r="I1333" s="11" t="n">
        <v>678.36</v>
      </c>
      <c r="J1333" s="12" t="n">
        <v>0.1</v>
      </c>
      <c r="K1333" s="11" t="n">
        <v>3663.14</v>
      </c>
      <c r="L1333" s="11" t="n">
        <v>819.97</v>
      </c>
      <c r="M1333" s="12" t="n">
        <v>0.2238</v>
      </c>
    </row>
    <row r="1334">
      <c r="A1334" t="inlineStr">
        <is>
          <t>ORD-10482</t>
        </is>
      </c>
      <c r="B1334" s="10" t="inlineStr">
        <is>
          <t>2025-04-18</t>
        </is>
      </c>
      <c r="C1334" t="inlineStr">
        <is>
          <t>Customer 55</t>
        </is>
      </c>
      <c r="D1334" t="inlineStr">
        <is>
          <t>South</t>
        </is>
      </c>
      <c r="E1334" t="inlineStr">
        <is>
          <t>Technology</t>
        </is>
      </c>
      <c r="F1334" t="inlineStr">
        <is>
          <t>Laptop</t>
        </is>
      </c>
      <c r="G1334" t="inlineStr">
        <is>
          <t>First Class</t>
        </is>
      </c>
      <c r="H1334" t="n">
        <v>4</v>
      </c>
      <c r="I1334" s="11" t="n">
        <v>582.8</v>
      </c>
      <c r="J1334" s="12" t="n">
        <v>0</v>
      </c>
      <c r="K1334" s="11" t="n">
        <v>2331.2</v>
      </c>
      <c r="L1334" s="11" t="n">
        <v>1074.12</v>
      </c>
      <c r="M1334" s="12" t="n">
        <v>0.4608</v>
      </c>
    </row>
    <row r="1335">
      <c r="A1335" t="inlineStr">
        <is>
          <t>ORD-10719</t>
        </is>
      </c>
      <c r="B1335" s="10" t="inlineStr">
        <is>
          <t>2025-04-18</t>
        </is>
      </c>
      <c r="C1335" t="inlineStr">
        <is>
          <t>Customer 28</t>
        </is>
      </c>
      <c r="D1335" t="inlineStr">
        <is>
          <t>West</t>
        </is>
      </c>
      <c r="E1335" t="inlineStr">
        <is>
          <t>Technology</t>
        </is>
      </c>
      <c r="F1335" t="inlineStr">
        <is>
          <t>Printer</t>
        </is>
      </c>
      <c r="G1335" t="inlineStr">
        <is>
          <t>Standard Class</t>
        </is>
      </c>
      <c r="H1335" t="n">
        <v>6</v>
      </c>
      <c r="I1335" s="11" t="n">
        <v>852.75</v>
      </c>
      <c r="J1335" s="12" t="n">
        <v>0</v>
      </c>
      <c r="K1335" s="11" t="n">
        <v>2558.25</v>
      </c>
      <c r="L1335" s="11" t="n">
        <v>923.36</v>
      </c>
      <c r="M1335" s="12" t="n">
        <v>0.3609</v>
      </c>
    </row>
    <row r="1336">
      <c r="A1336" t="inlineStr">
        <is>
          <t>ORD-11145</t>
        </is>
      </c>
      <c r="B1336" s="10" t="inlineStr">
        <is>
          <t>2025-04-19</t>
        </is>
      </c>
      <c r="C1336" t="inlineStr">
        <is>
          <t>Customer 102</t>
        </is>
      </c>
      <c r="D1336" t="inlineStr">
        <is>
          <t>North</t>
        </is>
      </c>
      <c r="E1336" t="inlineStr">
        <is>
          <t>Technology</t>
        </is>
      </c>
      <c r="F1336" t="inlineStr">
        <is>
          <t>Monitor</t>
        </is>
      </c>
      <c r="G1336" t="inlineStr">
        <is>
          <t>Standard Class</t>
        </is>
      </c>
      <c r="H1336" t="n">
        <v>10</v>
      </c>
      <c r="I1336" s="11" t="n">
        <v>159.47</v>
      </c>
      <c r="J1336" s="12" t="n">
        <v>0</v>
      </c>
      <c r="K1336" s="11" t="n">
        <v>1594.7</v>
      </c>
      <c r="L1336" s="11" t="n">
        <v>269.04</v>
      </c>
      <c r="M1336" s="12" t="n">
        <v>0.1687</v>
      </c>
    </row>
    <row r="1337">
      <c r="A1337" t="inlineStr">
        <is>
          <t>ORD-11150</t>
        </is>
      </c>
      <c r="B1337" s="10" t="inlineStr">
        <is>
          <t>2025-04-19</t>
        </is>
      </c>
      <c r="C1337" t="inlineStr">
        <is>
          <t>Customer 89</t>
        </is>
      </c>
      <c r="D1337" t="inlineStr">
        <is>
          <t>South</t>
        </is>
      </c>
      <c r="E1337" t="inlineStr">
        <is>
          <t>Technology</t>
        </is>
      </c>
      <c r="F1337" t="inlineStr">
        <is>
          <t>Wireless Mouse</t>
        </is>
      </c>
      <c r="G1337" t="inlineStr">
        <is>
          <t>Standard Class</t>
        </is>
      </c>
      <c r="H1337" t="n">
        <v>6</v>
      </c>
      <c r="I1337" s="11" t="n">
        <v>643.55</v>
      </c>
      <c r="J1337" s="12" t="n">
        <v>0</v>
      </c>
      <c r="K1337" s="11" t="n">
        <v>2280.32</v>
      </c>
      <c r="L1337" s="11" t="n">
        <v>646.9449999999999</v>
      </c>
      <c r="M1337" s="12" t="n">
        <v>0.2837</v>
      </c>
    </row>
    <row r="1338">
      <c r="A1338" t="inlineStr">
        <is>
          <t>ORD-10004</t>
        </is>
      </c>
      <c r="B1338" s="10" t="inlineStr">
        <is>
          <t>2025-04-19</t>
        </is>
      </c>
      <c r="C1338" t="inlineStr">
        <is>
          <t>Customer 79</t>
        </is>
      </c>
      <c r="D1338" t="inlineStr">
        <is>
          <t>East</t>
        </is>
      </c>
      <c r="E1338" t="inlineStr">
        <is>
          <t>Furniture</t>
        </is>
      </c>
      <c r="F1338" t="inlineStr">
        <is>
          <t>Bookcase</t>
        </is>
      </c>
      <c r="G1338" t="inlineStr">
        <is>
          <t>Second Class</t>
        </is>
      </c>
      <c r="H1338" t="n">
        <v>2</v>
      </c>
      <c r="I1338" s="11" t="n">
        <v>105.91</v>
      </c>
      <c r="J1338" s="12" t="n">
        <v>0</v>
      </c>
      <c r="K1338" s="11" t="n">
        <v>211.82</v>
      </c>
      <c r="L1338" s="11" t="n">
        <v>102.82</v>
      </c>
      <c r="M1338" s="12" t="n">
        <v>0.4854</v>
      </c>
    </row>
    <row r="1339">
      <c r="A1339" t="inlineStr">
        <is>
          <t>ORD-11308</t>
        </is>
      </c>
      <c r="B1339" s="10" t="inlineStr">
        <is>
          <t>2025-04-19</t>
        </is>
      </c>
      <c r="C1339" t="inlineStr">
        <is>
          <t>Customer 67</t>
        </is>
      </c>
      <c r="D1339" t="inlineStr">
        <is>
          <t>West</t>
        </is>
      </c>
      <c r="E1339" t="inlineStr">
        <is>
          <t>Office Supplies</t>
        </is>
      </c>
      <c r="F1339" t="inlineStr">
        <is>
          <t>Stapler</t>
        </is>
      </c>
      <c r="G1339" t="inlineStr">
        <is>
          <t>Standard Class</t>
        </is>
      </c>
      <c r="H1339" t="n">
        <v>10</v>
      </c>
      <c r="I1339" s="11" t="n">
        <v>515.16</v>
      </c>
      <c r="J1339" s="12" t="n">
        <v>0</v>
      </c>
      <c r="K1339" s="11" t="n">
        <v>5151.6</v>
      </c>
      <c r="L1339" s="11" t="n">
        <v>1608.75</v>
      </c>
      <c r="M1339" s="12" t="n">
        <v>0.3123</v>
      </c>
    </row>
    <row r="1340">
      <c r="A1340" t="inlineStr">
        <is>
          <t>ORD-10988</t>
        </is>
      </c>
      <c r="B1340" s="10" t="inlineStr">
        <is>
          <t>2025-04-20</t>
        </is>
      </c>
      <c r="C1340" t="inlineStr">
        <is>
          <t>Customer 143</t>
        </is>
      </c>
      <c r="D1340" t="inlineStr">
        <is>
          <t>South</t>
        </is>
      </c>
      <c r="E1340" t="inlineStr">
        <is>
          <t>Technology</t>
        </is>
      </c>
      <c r="F1340" t="inlineStr">
        <is>
          <t>Printer</t>
        </is>
      </c>
      <c r="G1340" t="inlineStr">
        <is>
          <t>Second Class</t>
        </is>
      </c>
      <c r="H1340" t="n">
        <v>10</v>
      </c>
      <c r="I1340" s="11" t="n">
        <v>256.67</v>
      </c>
      <c r="J1340" s="12" t="n">
        <v>0</v>
      </c>
      <c r="K1340" s="11" t="n">
        <v>2566.7</v>
      </c>
      <c r="L1340" s="11" t="n">
        <v>412.88</v>
      </c>
      <c r="M1340" s="12" t="n">
        <v>0.1609</v>
      </c>
    </row>
    <row r="1341">
      <c r="A1341" t="inlineStr">
        <is>
          <t>ORD-11488</t>
        </is>
      </c>
      <c r="B1341" s="10" t="inlineStr">
        <is>
          <t>2025-04-20</t>
        </is>
      </c>
      <c r="C1341" t="inlineStr">
        <is>
          <t>Customer 178</t>
        </is>
      </c>
      <c r="D1341" t="inlineStr">
        <is>
          <t>North</t>
        </is>
      </c>
      <c r="E1341" t="inlineStr">
        <is>
          <t>Office Supplies</t>
        </is>
      </c>
      <c r="F1341" t="inlineStr">
        <is>
          <t>Binder</t>
        </is>
      </c>
      <c r="G1341" t="inlineStr">
        <is>
          <t>First Class</t>
        </is>
      </c>
      <c r="H1341" t="n">
        <v>11</v>
      </c>
      <c r="I1341" s="11" t="n">
        <v>833.66</v>
      </c>
      <c r="J1341" s="12" t="n">
        <v>0</v>
      </c>
      <c r="K1341" s="11" t="n">
        <v>9170.26</v>
      </c>
      <c r="L1341" s="11" t="n">
        <v>3384.98</v>
      </c>
      <c r="M1341" s="12" t="n">
        <v>0.3691</v>
      </c>
    </row>
    <row r="1342">
      <c r="A1342" t="inlineStr">
        <is>
          <t>ORD-10164</t>
        </is>
      </c>
      <c r="B1342" s="10" t="inlineStr">
        <is>
          <t>2025-04-21</t>
        </is>
      </c>
      <c r="C1342" t="inlineStr">
        <is>
          <t>Customer 163</t>
        </is>
      </c>
      <c r="D1342" t="inlineStr">
        <is>
          <t>South</t>
        </is>
      </c>
      <c r="E1342" t="inlineStr">
        <is>
          <t>Furniture</t>
        </is>
      </c>
      <c r="F1342" t="inlineStr">
        <is>
          <t>Chair</t>
        </is>
      </c>
      <c r="G1342" t="inlineStr">
        <is>
          <t>Same Day</t>
        </is>
      </c>
      <c r="H1342" t="n">
        <v>4</v>
      </c>
      <c r="I1342" s="11" t="n">
        <v>988.64</v>
      </c>
      <c r="J1342" s="12" t="n">
        <v>0</v>
      </c>
      <c r="K1342" s="11" t="n">
        <v>3954.56</v>
      </c>
      <c r="L1342" s="11" t="n">
        <v>1774.01</v>
      </c>
      <c r="M1342" s="12" t="n">
        <v>0.4486</v>
      </c>
    </row>
    <row r="1343">
      <c r="A1343" t="inlineStr">
        <is>
          <t>ORD-10410</t>
        </is>
      </c>
      <c r="B1343" s="10" t="inlineStr">
        <is>
          <t>2025-04-21</t>
        </is>
      </c>
      <c r="C1343" t="inlineStr">
        <is>
          <t>Customer 104</t>
        </is>
      </c>
      <c r="D1343" t="inlineStr">
        <is>
          <t>North</t>
        </is>
      </c>
      <c r="E1343" t="inlineStr">
        <is>
          <t>Technology</t>
        </is>
      </c>
      <c r="F1343" t="inlineStr">
        <is>
          <t>Printer</t>
        </is>
      </c>
      <c r="G1343" t="inlineStr">
        <is>
          <t>Standard Class</t>
        </is>
      </c>
      <c r="H1343" t="n">
        <v>268</v>
      </c>
      <c r="I1343" s="11" t="n">
        <v>1103.34</v>
      </c>
      <c r="J1343" s="12" t="n">
        <v>0</v>
      </c>
      <c r="K1343" s="11" t="n">
        <v>5516.7</v>
      </c>
      <c r="L1343" s="11" t="n">
        <v>2148.66</v>
      </c>
      <c r="M1343" s="12" t="n">
        <v>0.3895</v>
      </c>
    </row>
    <row r="1344">
      <c r="A1344" t="inlineStr">
        <is>
          <t>ORD-11044</t>
        </is>
      </c>
      <c r="B1344" s="10" t="inlineStr">
        <is>
          <t>2025-04-21</t>
        </is>
      </c>
      <c r="C1344" t="inlineStr">
        <is>
          <t>Customer 90</t>
        </is>
      </c>
      <c r="D1344" t="inlineStr">
        <is>
          <t>West</t>
        </is>
      </c>
      <c r="E1344" t="inlineStr">
        <is>
          <t>Office Supplies</t>
        </is>
      </c>
      <c r="F1344" t="inlineStr">
        <is>
          <t>Paper</t>
        </is>
      </c>
      <c r="G1344" t="inlineStr">
        <is>
          <t>Same Day</t>
        </is>
      </c>
      <c r="H1344" t="n">
        <v>10</v>
      </c>
      <c r="I1344" s="11" t="n">
        <v>480.34</v>
      </c>
      <c r="J1344" s="12" t="n">
        <v>0.15</v>
      </c>
      <c r="K1344" s="11" t="n">
        <v>4082.89</v>
      </c>
      <c r="L1344" s="11" t="n">
        <v>105.39</v>
      </c>
      <c r="M1344" s="12" t="n">
        <v>0.0258</v>
      </c>
    </row>
    <row r="1345">
      <c r="A1345" t="inlineStr">
        <is>
          <t>ORD-10181</t>
        </is>
      </c>
      <c r="B1345" s="10" t="inlineStr">
        <is>
          <t>2025-04-22</t>
        </is>
      </c>
      <c r="C1345" t="inlineStr">
        <is>
          <t>Customer 161</t>
        </is>
      </c>
      <c r="D1345" t="inlineStr">
        <is>
          <t>West</t>
        </is>
      </c>
      <c r="E1345" t="inlineStr">
        <is>
          <t>Office Supplies</t>
        </is>
      </c>
      <c r="F1345" t="inlineStr">
        <is>
          <t>Pens (Box)</t>
        </is>
      </c>
      <c r="G1345" t="inlineStr">
        <is>
          <t>Standard Class</t>
        </is>
      </c>
      <c r="H1345" t="n">
        <v>5</v>
      </c>
      <c r="I1345" s="11" t="n">
        <v>480.04</v>
      </c>
      <c r="J1345" s="12" t="n">
        <v>0</v>
      </c>
      <c r="K1345" s="11" t="n">
        <v>2400.2</v>
      </c>
      <c r="L1345" s="11" t="n">
        <v>1092.53</v>
      </c>
      <c r="M1345" s="12" t="n">
        <v>0.4552</v>
      </c>
    </row>
    <row r="1346">
      <c r="A1346" t="inlineStr">
        <is>
          <t>ORD-10929</t>
        </is>
      </c>
      <c r="B1346" s="10" t="inlineStr">
        <is>
          <t>2025-04-22</t>
        </is>
      </c>
      <c r="C1346" t="inlineStr">
        <is>
          <t>Customer 54</t>
        </is>
      </c>
      <c r="D1346" t="inlineStr">
        <is>
          <t>South</t>
        </is>
      </c>
      <c r="E1346" t="inlineStr">
        <is>
          <t>Office Supplies</t>
        </is>
      </c>
      <c r="F1346" t="inlineStr">
        <is>
          <t>Binder</t>
        </is>
      </c>
      <c r="G1346" t="inlineStr">
        <is>
          <t>Same Day</t>
        </is>
      </c>
      <c r="H1346" t="n">
        <v>3</v>
      </c>
      <c r="I1346" s="11" t="n">
        <v>398.39</v>
      </c>
      <c r="J1346" s="12" t="n">
        <v>0</v>
      </c>
      <c r="K1346" s="11" t="n">
        <v>1195.17</v>
      </c>
      <c r="L1346" s="11" t="n">
        <v>197.31</v>
      </c>
      <c r="M1346" s="12" t="n">
        <v>0.1651</v>
      </c>
    </row>
    <row r="1347">
      <c r="A1347" t="inlineStr">
        <is>
          <t>ORD-11681</t>
        </is>
      </c>
      <c r="B1347" s="10" t="inlineStr">
        <is>
          <t>2025-04-22</t>
        </is>
      </c>
      <c r="C1347" t="inlineStr">
        <is>
          <t>Customer 161</t>
        </is>
      </c>
      <c r="D1347" t="inlineStr">
        <is>
          <t>West</t>
        </is>
      </c>
      <c r="E1347" t="inlineStr">
        <is>
          <t>Technology</t>
        </is>
      </c>
      <c r="F1347" t="inlineStr">
        <is>
          <t>Monitor</t>
        </is>
      </c>
      <c r="G1347" t="inlineStr">
        <is>
          <t>First Class</t>
        </is>
      </c>
      <c r="H1347" t="n">
        <v>11</v>
      </c>
      <c r="I1347" s="11" t="n">
        <v>1158.29</v>
      </c>
      <c r="J1347" s="12" t="n">
        <v>0.1</v>
      </c>
      <c r="K1347" s="11" t="n">
        <v>11467.07</v>
      </c>
      <c r="L1347" s="11" t="n">
        <v>4015.09</v>
      </c>
      <c r="M1347" s="12" t="n">
        <v>0.3501</v>
      </c>
    </row>
    <row r="1348">
      <c r="A1348" t="inlineStr">
        <is>
          <t>ORD-10755</t>
        </is>
      </c>
      <c r="B1348" s="10" t="inlineStr">
        <is>
          <t>2025-04-22</t>
        </is>
      </c>
      <c r="C1348" t="inlineStr">
        <is>
          <t>Customer 162</t>
        </is>
      </c>
      <c r="D1348" t="inlineStr">
        <is>
          <t>East</t>
        </is>
      </c>
      <c r="E1348" t="inlineStr">
        <is>
          <t>Technology</t>
        </is>
      </c>
      <c r="F1348" t="inlineStr">
        <is>
          <t>Monitor</t>
        </is>
      </c>
      <c r="G1348" t="inlineStr">
        <is>
          <t>First Class</t>
        </is>
      </c>
      <c r="H1348" t="n">
        <v>9</v>
      </c>
      <c r="I1348" s="11" t="n">
        <v>204.13</v>
      </c>
      <c r="J1348" s="12" t="n">
        <v>0</v>
      </c>
      <c r="K1348" s="11" t="n">
        <v>1837.17</v>
      </c>
      <c r="L1348" s="11" t="n">
        <v>635.9299999999999</v>
      </c>
      <c r="M1348" s="12" t="n">
        <v>0.3461</v>
      </c>
    </row>
    <row r="1349">
      <c r="A1349" t="inlineStr">
        <is>
          <t>ORD-11859</t>
        </is>
      </c>
      <c r="B1349" s="10" t="inlineStr">
        <is>
          <t>2025-04-22</t>
        </is>
      </c>
      <c r="C1349" t="inlineStr">
        <is>
          <t>Customer 85</t>
        </is>
      </c>
      <c r="D1349" t="inlineStr">
        <is>
          <t>East</t>
        </is>
      </c>
      <c r="E1349" t="inlineStr">
        <is>
          <t>Office Supplies</t>
        </is>
      </c>
      <c r="F1349" t="inlineStr">
        <is>
          <t>Pens (Box)</t>
        </is>
      </c>
      <c r="G1349" t="inlineStr">
        <is>
          <t>Standard Class</t>
        </is>
      </c>
      <c r="H1349" t="n">
        <v>4</v>
      </c>
      <c r="I1349" s="11" t="n">
        <v>459.91</v>
      </c>
      <c r="J1349" s="12" t="n">
        <v>0</v>
      </c>
      <c r="K1349" s="11" t="n">
        <v>1839.64</v>
      </c>
      <c r="L1349" s="11" t="n">
        <v>398.58</v>
      </c>
      <c r="M1349" s="12" t="n">
        <v>0.2167</v>
      </c>
    </row>
    <row r="1350">
      <c r="A1350" t="inlineStr">
        <is>
          <t>ORD-11200</t>
        </is>
      </c>
      <c r="B1350" s="10" t="inlineStr">
        <is>
          <t>2025-04-23</t>
        </is>
      </c>
      <c r="C1350" t="inlineStr">
        <is>
          <t>Customer 65</t>
        </is>
      </c>
      <c r="D1350" t="inlineStr">
        <is>
          <t>South</t>
        </is>
      </c>
      <c r="E1350" t="inlineStr">
        <is>
          <t>Office Supplies</t>
        </is>
      </c>
      <c r="F1350" t="inlineStr">
        <is>
          <t>Binder</t>
        </is>
      </c>
      <c r="G1350" t="inlineStr">
        <is>
          <t>Second Class</t>
        </is>
      </c>
      <c r="H1350" t="n">
        <v>9</v>
      </c>
      <c r="I1350" s="11" t="n">
        <v>702.97</v>
      </c>
      <c r="J1350" s="12" t="n">
        <v>0</v>
      </c>
      <c r="K1350" s="11" t="n">
        <v>6326.73</v>
      </c>
      <c r="L1350" s="11" t="n">
        <v>1041.07</v>
      </c>
      <c r="M1350" s="12" t="n">
        <v>0.1646</v>
      </c>
    </row>
    <row r="1351">
      <c r="A1351" t="inlineStr">
        <is>
          <t>ORD-11780</t>
        </is>
      </c>
      <c r="B1351" s="10" t="inlineStr">
        <is>
          <t>2025-04-23</t>
        </is>
      </c>
      <c r="C1351" t="inlineStr">
        <is>
          <t>Customer 8</t>
        </is>
      </c>
      <c r="D1351" t="inlineStr">
        <is>
          <t>East</t>
        </is>
      </c>
      <c r="E1351" t="inlineStr">
        <is>
          <t>Furniture</t>
        </is>
      </c>
      <c r="F1351" t="inlineStr">
        <is>
          <t>Bookcase</t>
        </is>
      </c>
      <c r="G1351" t="inlineStr">
        <is>
          <t>First Class</t>
        </is>
      </c>
      <c r="H1351" t="n">
        <v>9</v>
      </c>
      <c r="I1351" s="11" t="n">
        <v>844</v>
      </c>
      <c r="J1351" s="12" t="n">
        <v>0.15</v>
      </c>
      <c r="K1351" s="11" t="n">
        <v>6456.6</v>
      </c>
      <c r="L1351" s="11" t="n">
        <v>1445.49</v>
      </c>
      <c r="M1351" s="12" t="n">
        <v>0.2239</v>
      </c>
    </row>
    <row r="1352">
      <c r="A1352" t="inlineStr">
        <is>
          <t>ORD-11690</t>
        </is>
      </c>
      <c r="B1352" s="10" t="inlineStr">
        <is>
          <t>2025-04-24</t>
        </is>
      </c>
      <c r="C1352" t="inlineStr">
        <is>
          <t>Customer 135</t>
        </is>
      </c>
      <c r="D1352" t="inlineStr">
        <is>
          <t>West</t>
        </is>
      </c>
      <c r="E1352" t="inlineStr">
        <is>
          <t>Office Supplies</t>
        </is>
      </c>
      <c r="F1352" t="inlineStr">
        <is>
          <t>Pens (Box)</t>
        </is>
      </c>
      <c r="G1352" t="inlineStr">
        <is>
          <t>Second Class</t>
        </is>
      </c>
      <c r="H1352" t="n">
        <v>3</v>
      </c>
      <c r="I1352" s="11" t="n">
        <v>825.33</v>
      </c>
      <c r="J1352" s="12" t="n">
        <v>0</v>
      </c>
      <c r="K1352" s="11" t="n">
        <v>2475.99</v>
      </c>
      <c r="L1352" s="11" t="n">
        <v>623.9</v>
      </c>
      <c r="M1352" s="12" t="n">
        <v>0.252</v>
      </c>
    </row>
    <row r="1353">
      <c r="A1353" t="inlineStr">
        <is>
          <t>ORD-10083</t>
        </is>
      </c>
      <c r="B1353" s="10" t="inlineStr">
        <is>
          <t>2025-04-24</t>
        </is>
      </c>
      <c r="C1353" t="inlineStr">
        <is>
          <t>Customer 132</t>
        </is>
      </c>
      <c r="D1353" t="inlineStr">
        <is>
          <t>East</t>
        </is>
      </c>
      <c r="E1353" t="inlineStr">
        <is>
          <t>Technology</t>
        </is>
      </c>
      <c r="F1353" t="inlineStr">
        <is>
          <t>Wireless Mouse</t>
        </is>
      </c>
      <c r="G1353" t="inlineStr">
        <is>
          <t>Standard Class</t>
        </is>
      </c>
      <c r="H1353" t="n">
        <v>1</v>
      </c>
      <c r="I1353" s="11" t="n">
        <v>135.59</v>
      </c>
      <c r="J1353" s="12" t="n">
        <v>0.1</v>
      </c>
      <c r="K1353" s="11" t="n">
        <v>122.03</v>
      </c>
      <c r="L1353" s="11" t="n">
        <v>20.39</v>
      </c>
      <c r="M1353" s="12" t="n">
        <v>0.1671</v>
      </c>
    </row>
    <row r="1354">
      <c r="A1354" t="inlineStr">
        <is>
          <t>ORD-10115</t>
        </is>
      </c>
      <c r="B1354" s="10" t="inlineStr">
        <is>
          <t>2025-04-24</t>
        </is>
      </c>
      <c r="C1354" t="inlineStr">
        <is>
          <t>Customer 95</t>
        </is>
      </c>
      <c r="D1354" t="inlineStr">
        <is>
          <t>West</t>
        </is>
      </c>
      <c r="E1354" t="inlineStr">
        <is>
          <t>Office Supplies</t>
        </is>
      </c>
      <c r="F1354" t="inlineStr">
        <is>
          <t>Binder</t>
        </is>
      </c>
      <c r="G1354" t="inlineStr">
        <is>
          <t>Standard Class</t>
        </is>
      </c>
      <c r="H1354" t="n">
        <v>6</v>
      </c>
      <c r="I1354" s="11" t="n">
        <v>492.51</v>
      </c>
      <c r="J1354" s="12" t="n">
        <v>0</v>
      </c>
      <c r="K1354" s="11" t="n">
        <v>2955.06</v>
      </c>
      <c r="L1354" s="11" t="n">
        <v>557.38</v>
      </c>
      <c r="M1354" s="12" t="n">
        <v>0.1886</v>
      </c>
    </row>
    <row r="1355">
      <c r="A1355" t="inlineStr">
        <is>
          <t>ORD-11727</t>
        </is>
      </c>
      <c r="B1355" s="10" t="inlineStr">
        <is>
          <t>2025-04-24</t>
        </is>
      </c>
      <c r="C1355" t="inlineStr">
        <is>
          <t>Customer 111</t>
        </is>
      </c>
      <c r="D1355" t="inlineStr">
        <is>
          <t>South</t>
        </is>
      </c>
      <c r="E1355" t="inlineStr">
        <is>
          <t>Furniture</t>
        </is>
      </c>
      <c r="F1355" t="inlineStr">
        <is>
          <t>Bookcase</t>
        </is>
      </c>
      <c r="G1355" t="inlineStr">
        <is>
          <t>Standard Class</t>
        </is>
      </c>
      <c r="H1355" t="n">
        <v>4</v>
      </c>
      <c r="I1355" s="11" t="n">
        <v>405.21</v>
      </c>
      <c r="J1355" s="12" t="n">
        <v>0</v>
      </c>
      <c r="K1355" s="11" t="n">
        <v>1620.84</v>
      </c>
      <c r="L1355" s="11" t="n">
        <v>322.66</v>
      </c>
      <c r="M1355" s="12" t="n">
        <v>0.1991</v>
      </c>
    </row>
    <row r="1356">
      <c r="A1356" t="inlineStr">
        <is>
          <t>ORD-10437</t>
        </is>
      </c>
      <c r="B1356" s="10" t="inlineStr">
        <is>
          <t>2025-04-24</t>
        </is>
      </c>
      <c r="C1356" t="inlineStr">
        <is>
          <t>Customer 4</t>
        </is>
      </c>
      <c r="D1356" t="inlineStr">
        <is>
          <t>South</t>
        </is>
      </c>
      <c r="E1356" t="inlineStr">
        <is>
          <t>Office Supplies</t>
        </is>
      </c>
      <c r="F1356" t="inlineStr">
        <is>
          <t>Pens (Box)</t>
        </is>
      </c>
      <c r="G1356" t="inlineStr">
        <is>
          <t>Standard Class</t>
        </is>
      </c>
      <c r="H1356" t="n">
        <v>6</v>
      </c>
      <c r="I1356" s="11" t="n">
        <v>389.29</v>
      </c>
      <c r="J1356" s="12" t="n">
        <v>0</v>
      </c>
      <c r="K1356" s="11" t="n">
        <v>2335.74</v>
      </c>
      <c r="L1356" s="11" t="n">
        <v>967.89</v>
      </c>
      <c r="M1356" s="12" t="n">
        <v>0.4144</v>
      </c>
    </row>
    <row r="1357">
      <c r="A1357" t="inlineStr">
        <is>
          <t>ORD-10050</t>
        </is>
      </c>
      <c r="B1357" s="10" t="inlineStr">
        <is>
          <t>2025-04-24</t>
        </is>
      </c>
      <c r="C1357" t="inlineStr">
        <is>
          <t>Customer 5</t>
        </is>
      </c>
      <c r="D1357" t="inlineStr">
        <is>
          <t>South</t>
        </is>
      </c>
      <c r="E1357" t="inlineStr">
        <is>
          <t>Furniture</t>
        </is>
      </c>
      <c r="F1357" t="inlineStr">
        <is>
          <t>Table Lamp</t>
        </is>
      </c>
      <c r="G1357" t="inlineStr">
        <is>
          <t>First Class</t>
        </is>
      </c>
      <c r="H1357" t="n">
        <v>4</v>
      </c>
      <c r="I1357" s="11" t="n">
        <v>48.21</v>
      </c>
      <c r="J1357" s="12" t="n">
        <v>0</v>
      </c>
      <c r="K1357" s="11" t="n">
        <v>192.84</v>
      </c>
      <c r="L1357" s="11" t="n">
        <v>92.93000000000001</v>
      </c>
      <c r="M1357" s="12" t="n">
        <v>0.4819</v>
      </c>
    </row>
    <row r="1358">
      <c r="A1358" t="inlineStr">
        <is>
          <t>ORD-11126</t>
        </is>
      </c>
      <c r="B1358" s="10" t="inlineStr">
        <is>
          <t>2025-04-25</t>
        </is>
      </c>
      <c r="C1358" t="inlineStr">
        <is>
          <t>Customer 189</t>
        </is>
      </c>
      <c r="D1358" t="inlineStr">
        <is>
          <t>North</t>
        </is>
      </c>
      <c r="E1358" t="inlineStr">
        <is>
          <t>Furniture</t>
        </is>
      </c>
      <c r="F1358" t="inlineStr">
        <is>
          <t>Bookcase</t>
        </is>
      </c>
      <c r="G1358" t="inlineStr">
        <is>
          <t>Second Class</t>
        </is>
      </c>
      <c r="H1358" t="n">
        <v>7</v>
      </c>
      <c r="I1358" s="11" t="n">
        <v>1003.5</v>
      </c>
      <c r="J1358" s="12" t="n">
        <v>0</v>
      </c>
      <c r="K1358" s="11" t="n">
        <v>7024.5</v>
      </c>
      <c r="L1358" s="11" t="n">
        <v>1354.52</v>
      </c>
      <c r="M1358" s="12" t="n">
        <v>0.1928</v>
      </c>
    </row>
    <row r="1359">
      <c r="A1359" t="inlineStr">
        <is>
          <t>ORD-10184</t>
        </is>
      </c>
      <c r="B1359" s="10" t="inlineStr">
        <is>
          <t>2025-04-25</t>
        </is>
      </c>
      <c r="C1359" t="inlineStr">
        <is>
          <t>Customer 21</t>
        </is>
      </c>
      <c r="D1359" t="inlineStr">
        <is>
          <t>East</t>
        </is>
      </c>
      <c r="E1359" t="inlineStr">
        <is>
          <t>Technology</t>
        </is>
      </c>
      <c r="F1359" t="inlineStr">
        <is>
          <t>Monitor</t>
        </is>
      </c>
      <c r="G1359" t="inlineStr">
        <is>
          <t>Second Class</t>
        </is>
      </c>
      <c r="H1359" t="n">
        <v>4</v>
      </c>
      <c r="I1359" s="11" t="n">
        <v>667.51</v>
      </c>
      <c r="J1359" s="12" t="n">
        <v>0</v>
      </c>
      <c r="K1359" s="11" t="n">
        <v>2670.04</v>
      </c>
      <c r="L1359" s="11" t="n">
        <v>1011.93</v>
      </c>
      <c r="M1359" s="12" t="n">
        <v>0.379</v>
      </c>
    </row>
    <row r="1360">
      <c r="A1360" t="inlineStr">
        <is>
          <t>ORD-11771</t>
        </is>
      </c>
      <c r="B1360" s="10" t="inlineStr">
        <is>
          <t>2025-04-25</t>
        </is>
      </c>
      <c r="C1360" t="inlineStr">
        <is>
          <t>Customer 53</t>
        </is>
      </c>
      <c r="D1360" t="inlineStr">
        <is>
          <t>South</t>
        </is>
      </c>
      <c r="E1360" t="inlineStr">
        <is>
          <t>Furniture</t>
        </is>
      </c>
      <c r="F1360" t="inlineStr">
        <is>
          <t>Desk</t>
        </is>
      </c>
      <c r="G1360" t="inlineStr">
        <is>
          <t>Second Class</t>
        </is>
      </c>
      <c r="H1360" t="n">
        <v>8</v>
      </c>
      <c r="I1360" s="11" t="n">
        <v>474.79</v>
      </c>
      <c r="J1360" s="12" t="n">
        <v>0</v>
      </c>
      <c r="K1360" s="11" t="n">
        <v>3798.32</v>
      </c>
      <c r="L1360" s="11" t="n">
        <v>1894.18</v>
      </c>
      <c r="M1360" s="12" t="n">
        <v>0.4987</v>
      </c>
    </row>
    <row r="1361">
      <c r="A1361" t="inlineStr">
        <is>
          <t>ORD-10510</t>
        </is>
      </c>
      <c r="B1361" s="10" t="inlineStr">
        <is>
          <t>2025-04-25</t>
        </is>
      </c>
      <c r="C1361" t="inlineStr">
        <is>
          <t>Customer 59</t>
        </is>
      </c>
      <c r="D1361" t="inlineStr">
        <is>
          <t>East</t>
        </is>
      </c>
      <c r="E1361" t="inlineStr">
        <is>
          <t>Office Supplies</t>
        </is>
      </c>
      <c r="F1361" t="inlineStr">
        <is>
          <t>Paper</t>
        </is>
      </c>
      <c r="G1361" t="inlineStr">
        <is>
          <t>Second Class</t>
        </is>
      </c>
      <c r="H1361" t="n">
        <v>9</v>
      </c>
      <c r="I1361" s="11" t="n">
        <v>165.1</v>
      </c>
      <c r="J1361" s="12" t="n">
        <v>0</v>
      </c>
      <c r="K1361" s="11" t="n">
        <v>1485.9</v>
      </c>
      <c r="L1361" s="11" t="n">
        <v>714.67</v>
      </c>
      <c r="M1361" s="12" t="n">
        <v>0.481</v>
      </c>
    </row>
    <row r="1362">
      <c r="A1362" t="inlineStr">
        <is>
          <t>ORD-10247</t>
        </is>
      </c>
      <c r="B1362" s="10" t="inlineStr">
        <is>
          <t>2025-04-26</t>
        </is>
      </c>
      <c r="C1362" t="inlineStr">
        <is>
          <t>Customer 13</t>
        </is>
      </c>
      <c r="D1362" t="inlineStr">
        <is>
          <t>East</t>
        </is>
      </c>
      <c r="E1362" t="inlineStr">
        <is>
          <t>Office Supplies</t>
        </is>
      </c>
      <c r="F1362" t="inlineStr">
        <is>
          <t>Pens (Box)</t>
        </is>
      </c>
      <c r="G1362" t="inlineStr">
        <is>
          <t>Standard Class</t>
        </is>
      </c>
      <c r="H1362" t="n">
        <v>11</v>
      </c>
      <c r="I1362" s="11" t="n">
        <v>1181.1</v>
      </c>
      <c r="J1362" s="12" t="n">
        <v>0</v>
      </c>
      <c r="K1362" s="11" t="n">
        <v>12992.1</v>
      </c>
      <c r="L1362" s="11" t="n">
        <v>3593.9</v>
      </c>
      <c r="M1362" s="12" t="n">
        <v>0.2766</v>
      </c>
    </row>
    <row r="1363">
      <c r="A1363" t="inlineStr">
        <is>
          <t>ORD-11188</t>
        </is>
      </c>
      <c r="B1363" s="10" t="inlineStr">
        <is>
          <t>2025-04-26</t>
        </is>
      </c>
      <c r="C1363" t="inlineStr">
        <is>
          <t>Customer 137</t>
        </is>
      </c>
      <c r="D1363" t="inlineStr">
        <is>
          <t>East</t>
        </is>
      </c>
      <c r="E1363" t="inlineStr">
        <is>
          <t>Furniture</t>
        </is>
      </c>
      <c r="F1363" t="inlineStr">
        <is>
          <t>Bookcase</t>
        </is>
      </c>
      <c r="G1363" t="inlineStr">
        <is>
          <t>First Class</t>
        </is>
      </c>
      <c r="H1363" t="n">
        <v>4</v>
      </c>
      <c r="I1363" s="11" t="n">
        <v>1167.51</v>
      </c>
      <c r="J1363" s="12" t="n">
        <v>0</v>
      </c>
      <c r="K1363" s="11" t="n">
        <v>4670.04</v>
      </c>
      <c r="L1363" s="11" t="n">
        <v>1275.5</v>
      </c>
      <c r="M1363" s="12" t="n">
        <v>0.2731</v>
      </c>
    </row>
    <row r="1364">
      <c r="A1364" t="inlineStr">
        <is>
          <t>ORD-11377</t>
        </is>
      </c>
      <c r="B1364" s="10" t="inlineStr">
        <is>
          <t>2025-04-27</t>
        </is>
      </c>
      <c r="C1364" t="inlineStr">
        <is>
          <t>Customer 119</t>
        </is>
      </c>
      <c r="D1364" t="inlineStr">
        <is>
          <t>North</t>
        </is>
      </c>
      <c r="E1364" t="inlineStr">
        <is>
          <t>Furniture</t>
        </is>
      </c>
      <c r="F1364" t="inlineStr">
        <is>
          <t>Chair</t>
        </is>
      </c>
      <c r="G1364" t="inlineStr">
        <is>
          <t>Second Class</t>
        </is>
      </c>
      <c r="H1364" t="n">
        <v>1</v>
      </c>
      <c r="I1364" s="11" t="n">
        <v>321.45</v>
      </c>
      <c r="J1364" s="12" t="n">
        <v>0</v>
      </c>
      <c r="K1364" s="11" t="n">
        <v>321.45</v>
      </c>
      <c r="L1364" s="11" t="n">
        <v>49.09</v>
      </c>
      <c r="M1364" s="12" t="n">
        <v>0.1527</v>
      </c>
    </row>
    <row r="1365">
      <c r="A1365" t="inlineStr">
        <is>
          <t>ORD-11149</t>
        </is>
      </c>
      <c r="B1365" s="10" t="inlineStr">
        <is>
          <t>2025-04-27</t>
        </is>
      </c>
      <c r="C1365" t="inlineStr">
        <is>
          <t>Customer 175</t>
        </is>
      </c>
      <c r="D1365" t="inlineStr">
        <is>
          <t>East</t>
        </is>
      </c>
      <c r="E1365" t="inlineStr">
        <is>
          <t>Furniture</t>
        </is>
      </c>
      <c r="F1365" t="inlineStr">
        <is>
          <t>Chair</t>
        </is>
      </c>
      <c r="G1365" t="inlineStr">
        <is>
          <t>Standard Class</t>
        </is>
      </c>
      <c r="H1365" t="n">
        <v>5</v>
      </c>
      <c r="I1365" s="11" t="n">
        <v>358.44</v>
      </c>
      <c r="J1365" s="12" t="n">
        <v>0.15</v>
      </c>
      <c r="K1365" s="11" t="n">
        <v>1523.37</v>
      </c>
      <c r="L1365" s="11" t="n">
        <v>604.29</v>
      </c>
      <c r="M1365" s="12" t="n">
        <v>0.3967</v>
      </c>
    </row>
    <row r="1366">
      <c r="A1366" t="inlineStr">
        <is>
          <t>ORD-11149</t>
        </is>
      </c>
      <c r="B1366" s="10" t="inlineStr">
        <is>
          <t>2025-04-27</t>
        </is>
      </c>
      <c r="C1366" t="inlineStr">
        <is>
          <t>Customer 175</t>
        </is>
      </c>
      <c r="D1366" t="inlineStr">
        <is>
          <t>East</t>
        </is>
      </c>
      <c r="E1366" t="inlineStr">
        <is>
          <t>Furniture</t>
        </is>
      </c>
      <c r="F1366" t="inlineStr">
        <is>
          <t>Chair</t>
        </is>
      </c>
      <c r="G1366" t="inlineStr">
        <is>
          <t>Standard Class</t>
        </is>
      </c>
      <c r="H1366" t="n">
        <v>5</v>
      </c>
      <c r="I1366" s="11" t="n">
        <v>358.44</v>
      </c>
      <c r="J1366" s="12" t="n">
        <v>0.15</v>
      </c>
      <c r="K1366" s="11" t="n">
        <v>1523.37</v>
      </c>
      <c r="L1366" s="11" t="n">
        <v>604.29</v>
      </c>
      <c r="M1366" s="12" t="n">
        <v>0.3967</v>
      </c>
    </row>
    <row r="1367">
      <c r="A1367" t="inlineStr">
        <is>
          <t>ORD-10555</t>
        </is>
      </c>
      <c r="B1367" s="10" t="inlineStr">
        <is>
          <t>2025-04-27</t>
        </is>
      </c>
      <c r="C1367" t="inlineStr">
        <is>
          <t>Customer 187</t>
        </is>
      </c>
      <c r="D1367" t="inlineStr">
        <is>
          <t>North</t>
        </is>
      </c>
      <c r="E1367" t="inlineStr">
        <is>
          <t>Furniture</t>
        </is>
      </c>
      <c r="F1367" t="inlineStr">
        <is>
          <t>Desk</t>
        </is>
      </c>
      <c r="G1367" t="inlineStr">
        <is>
          <t>Standard Class</t>
        </is>
      </c>
      <c r="H1367" t="n">
        <v>7</v>
      </c>
      <c r="I1367" s="11" t="n">
        <v>822.75</v>
      </c>
      <c r="J1367" s="12" t="n">
        <v>0</v>
      </c>
      <c r="K1367" s="11" t="n">
        <v>5759.25</v>
      </c>
      <c r="L1367" s="11" t="n">
        <v>2571.01</v>
      </c>
      <c r="M1367" s="12" t="n">
        <v>0.4464</v>
      </c>
    </row>
    <row r="1368">
      <c r="A1368" t="inlineStr">
        <is>
          <t>ORD-10287</t>
        </is>
      </c>
      <c r="B1368" s="10" t="inlineStr">
        <is>
          <t>2025-04-28</t>
        </is>
      </c>
      <c r="C1368" t="inlineStr">
        <is>
          <t>Customer 133</t>
        </is>
      </c>
      <c r="D1368" t="inlineStr">
        <is>
          <t>North</t>
        </is>
      </c>
      <c r="E1368" t="inlineStr">
        <is>
          <t>Technology</t>
        </is>
      </c>
      <c r="F1368" t="inlineStr">
        <is>
          <t>Wireless Mouse</t>
        </is>
      </c>
      <c r="G1368" t="inlineStr">
        <is>
          <t>First Class</t>
        </is>
      </c>
      <c r="H1368" t="n">
        <v>7</v>
      </c>
      <c r="I1368" s="11" t="n">
        <v>503.62</v>
      </c>
      <c r="J1368" s="12" t="n">
        <v>0</v>
      </c>
      <c r="K1368" s="11" t="n">
        <v>3525.34</v>
      </c>
      <c r="L1368" s="11" t="n">
        <v>1573.17</v>
      </c>
      <c r="M1368" s="12" t="n">
        <v>0.4462</v>
      </c>
    </row>
    <row r="1369">
      <c r="A1369" t="inlineStr">
        <is>
          <t>ORD-10216</t>
        </is>
      </c>
      <c r="B1369" s="10" t="inlineStr">
        <is>
          <t>2025-04-28</t>
        </is>
      </c>
      <c r="C1369" t="inlineStr">
        <is>
          <t>Customer 48</t>
        </is>
      </c>
      <c r="D1369" t="inlineStr">
        <is>
          <t>West</t>
        </is>
      </c>
      <c r="E1369" t="inlineStr">
        <is>
          <t>Furniture</t>
        </is>
      </c>
      <c r="F1369" t="inlineStr">
        <is>
          <t>Desk</t>
        </is>
      </c>
      <c r="G1369" t="inlineStr">
        <is>
          <t>Second Class</t>
        </is>
      </c>
      <c r="H1369" t="n">
        <v>5</v>
      </c>
      <c r="I1369" s="11" t="n">
        <v>807.87</v>
      </c>
      <c r="J1369" s="12" t="n">
        <v>0.3</v>
      </c>
      <c r="K1369" s="11" t="n">
        <v>2827.54</v>
      </c>
      <c r="L1369" s="11" t="n">
        <v>283.48</v>
      </c>
      <c r="M1369" s="12" t="n">
        <v>0.1003</v>
      </c>
    </row>
    <row r="1370">
      <c r="A1370" t="inlineStr">
        <is>
          <t>ORD-11558</t>
        </is>
      </c>
      <c r="B1370" s="10" t="inlineStr">
        <is>
          <t>2025-04-28</t>
        </is>
      </c>
      <c r="C1370" t="inlineStr">
        <is>
          <t>Customer 57</t>
        </is>
      </c>
      <c r="D1370" t="inlineStr">
        <is>
          <t>East</t>
        </is>
      </c>
      <c r="E1370" t="inlineStr">
        <is>
          <t>Furniture</t>
        </is>
      </c>
      <c r="F1370" t="inlineStr">
        <is>
          <t>Bookcase</t>
        </is>
      </c>
      <c r="G1370" t="inlineStr">
        <is>
          <t>First Class</t>
        </is>
      </c>
      <c r="H1370" t="n">
        <v>7</v>
      </c>
      <c r="I1370" s="11" t="n">
        <v>850.3200000000001</v>
      </c>
      <c r="J1370" s="12" t="n">
        <v>0.1</v>
      </c>
      <c r="K1370" s="11" t="n">
        <v>5357.02</v>
      </c>
      <c r="L1370" s="11" t="n">
        <v>871.8200000000001</v>
      </c>
      <c r="M1370" s="12" t="n">
        <v>0.1627</v>
      </c>
    </row>
    <row r="1371">
      <c r="A1371" t="inlineStr">
        <is>
          <t>ORD-10003</t>
        </is>
      </c>
      <c r="B1371" s="10" t="inlineStr">
        <is>
          <t>2025-04-29</t>
        </is>
      </c>
      <c r="C1371" t="inlineStr">
        <is>
          <t>Customer 181</t>
        </is>
      </c>
      <c r="D1371" t="inlineStr">
        <is>
          <t>West</t>
        </is>
      </c>
      <c r="E1371" t="inlineStr">
        <is>
          <t>Technology</t>
        </is>
      </c>
      <c r="F1371" t="inlineStr">
        <is>
          <t>Printer</t>
        </is>
      </c>
      <c r="G1371" t="inlineStr">
        <is>
          <t>Second Class</t>
        </is>
      </c>
      <c r="H1371" t="n">
        <v>2</v>
      </c>
      <c r="I1371" s="11" t="n">
        <v>1028.65</v>
      </c>
      <c r="J1371" s="12" t="n">
        <v>0.1</v>
      </c>
      <c r="K1371" s="11" t="n">
        <v>1851.57</v>
      </c>
      <c r="L1371" s="11" t="n">
        <v>304.87</v>
      </c>
      <c r="M1371" s="12" t="n">
        <v>0.1647</v>
      </c>
    </row>
    <row r="1372">
      <c r="A1372" t="inlineStr">
        <is>
          <t>ORD-10112</t>
        </is>
      </c>
      <c r="B1372" s="10" t="inlineStr">
        <is>
          <t>2025-04-29</t>
        </is>
      </c>
      <c r="C1372" t="inlineStr">
        <is>
          <t>Customer 126</t>
        </is>
      </c>
      <c r="D1372" t="inlineStr">
        <is>
          <t>East</t>
        </is>
      </c>
      <c r="E1372" t="inlineStr">
        <is>
          <t>Furniture</t>
        </is>
      </c>
      <c r="F1372" t="inlineStr">
        <is>
          <t>Desk</t>
        </is>
      </c>
      <c r="G1372" t="inlineStr">
        <is>
          <t>Standard Class</t>
        </is>
      </c>
      <c r="H1372" t="n">
        <v>4</v>
      </c>
      <c r="I1372" s="11" t="n">
        <v>1004.31</v>
      </c>
      <c r="J1372" s="12" t="n">
        <v>0</v>
      </c>
      <c r="K1372" s="11" t="n">
        <v>4017.24</v>
      </c>
      <c r="L1372" s="11" t="n">
        <v>1171.03</v>
      </c>
      <c r="M1372" s="12" t="n">
        <v>0.2915</v>
      </c>
    </row>
    <row r="1373">
      <c r="A1373" t="inlineStr">
        <is>
          <t>ORD-10584</t>
        </is>
      </c>
      <c r="B1373" s="10" t="inlineStr">
        <is>
          <t>2025-04-29</t>
        </is>
      </c>
      <c r="C1373" t="inlineStr">
        <is>
          <t>Customer 105</t>
        </is>
      </c>
      <c r="D1373" t="inlineStr">
        <is>
          <t>West</t>
        </is>
      </c>
      <c r="E1373" t="inlineStr">
        <is>
          <t>Technology</t>
        </is>
      </c>
      <c r="F1373" t="inlineStr">
        <is>
          <t>Laptop</t>
        </is>
      </c>
      <c r="G1373" t="inlineStr">
        <is>
          <t>First Class</t>
        </is>
      </c>
      <c r="H1373" t="n">
        <v>10</v>
      </c>
      <c r="I1373" s="11" t="n">
        <v>621.45</v>
      </c>
      <c r="J1373" s="12" t="n">
        <v>0</v>
      </c>
      <c r="K1373" s="11" t="n">
        <v>6214.5</v>
      </c>
      <c r="L1373" s="11" t="n">
        <v>1096.13</v>
      </c>
      <c r="M1373" s="12" t="n">
        <v>0.1764</v>
      </c>
    </row>
    <row r="1374">
      <c r="A1374" t="inlineStr">
        <is>
          <t>ORD-10490</t>
        </is>
      </c>
      <c r="B1374" s="10" t="inlineStr">
        <is>
          <t>2025-04-30</t>
        </is>
      </c>
      <c r="C1374" t="inlineStr">
        <is>
          <t>Customer 162</t>
        </is>
      </c>
      <c r="D1374" t="inlineStr">
        <is>
          <t>East</t>
        </is>
      </c>
      <c r="E1374" t="inlineStr">
        <is>
          <t>Office Supplies</t>
        </is>
      </c>
      <c r="F1374" t="inlineStr">
        <is>
          <t>Paper</t>
        </is>
      </c>
      <c r="G1374" t="inlineStr">
        <is>
          <t>Standard Class</t>
        </is>
      </c>
      <c r="H1374" t="n">
        <v>7</v>
      </c>
      <c r="I1374" s="11" t="n">
        <v>45.16</v>
      </c>
      <c r="J1374" s="12" t="n">
        <v>0</v>
      </c>
      <c r="K1374" s="11" t="n">
        <v>316.12</v>
      </c>
      <c r="L1374" s="11" t="n">
        <v>147.63</v>
      </c>
      <c r="M1374" s="12" t="n">
        <v>0.467</v>
      </c>
    </row>
    <row r="1375">
      <c r="A1375" t="inlineStr">
        <is>
          <t>ORD-11932</t>
        </is>
      </c>
      <c r="B1375" s="10" t="inlineStr">
        <is>
          <t>2025-04-30</t>
        </is>
      </c>
      <c r="C1375" t="inlineStr">
        <is>
          <t>Customer 27</t>
        </is>
      </c>
      <c r="D1375" t="inlineStr">
        <is>
          <t>South</t>
        </is>
      </c>
      <c r="E1375" t="inlineStr">
        <is>
          <t>Technology</t>
        </is>
      </c>
      <c r="F1375" t="inlineStr">
        <is>
          <t>Laptop</t>
        </is>
      </c>
      <c r="G1375" t="inlineStr">
        <is>
          <t>First Class</t>
        </is>
      </c>
      <c r="H1375" t="n">
        <v>4</v>
      </c>
      <c r="I1375" s="11" t="n">
        <v>324.91</v>
      </c>
      <c r="J1375" s="12" t="n">
        <v>0</v>
      </c>
      <c r="K1375" s="11" t="n">
        <v>1299.64</v>
      </c>
      <c r="L1375" s="11" t="n">
        <v>558.85</v>
      </c>
      <c r="M1375" s="12" t="n">
        <v>0.43</v>
      </c>
    </row>
    <row r="1376">
      <c r="A1376" t="inlineStr">
        <is>
          <t>ORD-10984</t>
        </is>
      </c>
      <c r="B1376" s="10" t="inlineStr">
        <is>
          <t>2025-04-30</t>
        </is>
      </c>
      <c r="C1376" t="inlineStr">
        <is>
          <t>Customer 152</t>
        </is>
      </c>
      <c r="D1376" t="inlineStr">
        <is>
          <t>South</t>
        </is>
      </c>
      <c r="E1376" t="inlineStr">
        <is>
          <t>Technology</t>
        </is>
      </c>
      <c r="F1376" t="inlineStr">
        <is>
          <t>Monitor</t>
        </is>
      </c>
      <c r="G1376" t="inlineStr">
        <is>
          <t>Standard Class</t>
        </is>
      </c>
      <c r="H1376" t="n">
        <v>8</v>
      </c>
      <c r="I1376" s="11" t="n">
        <v>1019.74</v>
      </c>
      <c r="J1376" s="12" t="n">
        <v>0</v>
      </c>
      <c r="K1376" s="11" t="n">
        <v>8157.92</v>
      </c>
      <c r="L1376" s="11" t="n">
        <v>1658.03</v>
      </c>
      <c r="M1376" s="12" t="n">
        <v>0.2032</v>
      </c>
    </row>
    <row r="1377">
      <c r="A1377" t="inlineStr">
        <is>
          <t>ORD-11637</t>
        </is>
      </c>
      <c r="B1377" s="10" t="inlineStr">
        <is>
          <t>2025-04-30</t>
        </is>
      </c>
      <c r="C1377" t="inlineStr">
        <is>
          <t>Customer 10</t>
        </is>
      </c>
      <c r="D1377" t="inlineStr">
        <is>
          <t>South</t>
        </is>
      </c>
      <c r="E1377" t="inlineStr">
        <is>
          <t>Furniture</t>
        </is>
      </c>
      <c r="F1377" t="inlineStr">
        <is>
          <t>Desk</t>
        </is>
      </c>
      <c r="G1377" t="inlineStr">
        <is>
          <t>Standard Class</t>
        </is>
      </c>
      <c r="H1377" t="n">
        <v>6</v>
      </c>
      <c r="I1377" s="11" t="n">
        <v>581.595</v>
      </c>
      <c r="J1377" s="12" t="n">
        <v>0</v>
      </c>
      <c r="K1377" s="11" t="n">
        <v>2620.32</v>
      </c>
      <c r="L1377" s="11" t="n">
        <v>587.3</v>
      </c>
      <c r="M1377" s="12" t="n">
        <v>0.2241</v>
      </c>
    </row>
    <row r="1378">
      <c r="A1378" t="inlineStr">
        <is>
          <t>ORD-10906</t>
        </is>
      </c>
      <c r="B1378" s="10" t="inlineStr">
        <is>
          <t>2025-05-01</t>
        </is>
      </c>
      <c r="C1378" t="inlineStr">
        <is>
          <t>Customer 44</t>
        </is>
      </c>
      <c r="D1378" t="inlineStr">
        <is>
          <t>South</t>
        </is>
      </c>
      <c r="E1378" t="inlineStr">
        <is>
          <t>Technology</t>
        </is>
      </c>
      <c r="F1378" t="inlineStr">
        <is>
          <t>Monitor</t>
        </is>
      </c>
      <c r="G1378" t="inlineStr">
        <is>
          <t>Same Day</t>
        </is>
      </c>
      <c r="H1378" t="n">
        <v>7</v>
      </c>
      <c r="I1378" s="11" t="n">
        <v>442.6</v>
      </c>
      <c r="J1378" s="12" t="n">
        <v>0</v>
      </c>
      <c r="K1378" s="11" t="n">
        <v>3098.2</v>
      </c>
      <c r="L1378" s="11" t="n">
        <v>1139.19</v>
      </c>
      <c r="M1378" s="12" t="n">
        <v>0.3677</v>
      </c>
    </row>
    <row r="1379">
      <c r="A1379" t="inlineStr">
        <is>
          <t>ORD-11543</t>
        </is>
      </c>
      <c r="B1379" s="10" t="inlineStr">
        <is>
          <t>2025-05-02</t>
        </is>
      </c>
      <c r="C1379" t="inlineStr">
        <is>
          <t>Customer 136</t>
        </is>
      </c>
      <c r="D1379" t="inlineStr">
        <is>
          <t>South</t>
        </is>
      </c>
      <c r="E1379" t="inlineStr">
        <is>
          <t>Furniture</t>
        </is>
      </c>
      <c r="F1379" t="inlineStr">
        <is>
          <t>Desk</t>
        </is>
      </c>
      <c r="G1379" t="inlineStr">
        <is>
          <t>Second Class</t>
        </is>
      </c>
      <c r="H1379" t="n">
        <v>2</v>
      </c>
      <c r="I1379" s="11" t="n">
        <v>365.93</v>
      </c>
      <c r="J1379" s="12" t="n">
        <v>0</v>
      </c>
      <c r="K1379" s="11" t="n">
        <v>731.86</v>
      </c>
      <c r="L1379" s="11" t="n">
        <v>122.55</v>
      </c>
      <c r="M1379" s="12" t="n">
        <v>0.1675</v>
      </c>
    </row>
    <row r="1380">
      <c r="A1380" t="inlineStr">
        <is>
          <t>ORD-10902</t>
        </is>
      </c>
      <c r="B1380" s="10" t="inlineStr">
        <is>
          <t>2025-05-02</t>
        </is>
      </c>
      <c r="C1380" t="inlineStr">
        <is>
          <t>Customer 56</t>
        </is>
      </c>
      <c r="D1380" t="inlineStr">
        <is>
          <t>North</t>
        </is>
      </c>
      <c r="E1380" t="inlineStr">
        <is>
          <t>Furniture</t>
        </is>
      </c>
      <c r="F1380" t="inlineStr">
        <is>
          <t>Chair</t>
        </is>
      </c>
      <c r="G1380" t="inlineStr">
        <is>
          <t>Second Class</t>
        </is>
      </c>
      <c r="H1380" t="n">
        <v>5</v>
      </c>
      <c r="I1380" s="11" t="n">
        <v>374.09</v>
      </c>
      <c r="J1380" s="12" t="n">
        <v>0</v>
      </c>
      <c r="K1380" s="11" t="n">
        <v>1870.45</v>
      </c>
      <c r="L1380" s="11" t="n">
        <v>833.36</v>
      </c>
      <c r="M1380" s="12" t="n">
        <v>0.4455</v>
      </c>
    </row>
    <row r="1381">
      <c r="A1381" t="inlineStr">
        <is>
          <t>ORD-10868</t>
        </is>
      </c>
      <c r="B1381" s="10" t="inlineStr">
        <is>
          <t>2025-05-02</t>
        </is>
      </c>
      <c r="C1381" t="inlineStr">
        <is>
          <t>Customer 117</t>
        </is>
      </c>
      <c r="D1381" t="inlineStr">
        <is>
          <t>North</t>
        </is>
      </c>
      <c r="E1381" t="inlineStr">
        <is>
          <t>Office Supplies</t>
        </is>
      </c>
      <c r="F1381" t="inlineStr">
        <is>
          <t>Stapler</t>
        </is>
      </c>
      <c r="G1381" t="inlineStr">
        <is>
          <t>First Class</t>
        </is>
      </c>
      <c r="H1381" t="n">
        <v>11</v>
      </c>
      <c r="I1381" s="11" t="n">
        <v>1097.3</v>
      </c>
      <c r="J1381" s="12" t="n">
        <v>0</v>
      </c>
      <c r="K1381" s="11" t="n">
        <v>12070.3</v>
      </c>
      <c r="L1381" s="11" t="n">
        <v>2995.23</v>
      </c>
      <c r="M1381" s="12" t="n">
        <v>0.2481</v>
      </c>
    </row>
    <row r="1382">
      <c r="A1382" t="inlineStr">
        <is>
          <t>ORD-11632</t>
        </is>
      </c>
      <c r="B1382" s="10" t="inlineStr">
        <is>
          <t>2025-05-03</t>
        </is>
      </c>
      <c r="C1382" t="inlineStr">
        <is>
          <t>Customer 49</t>
        </is>
      </c>
      <c r="D1382" t="inlineStr">
        <is>
          <t>East</t>
        </is>
      </c>
      <c r="E1382" t="inlineStr">
        <is>
          <t>Furniture</t>
        </is>
      </c>
      <c r="F1382" t="inlineStr">
        <is>
          <t>Chair</t>
        </is>
      </c>
      <c r="G1382" t="inlineStr">
        <is>
          <t>First Class</t>
        </is>
      </c>
      <c r="H1382" t="n">
        <v>4</v>
      </c>
      <c r="I1382" s="11" t="n">
        <v>221.64</v>
      </c>
      <c r="J1382" s="12" t="n">
        <v>0</v>
      </c>
      <c r="K1382" s="11" t="n">
        <v>886.5599999999999</v>
      </c>
      <c r="L1382" s="11" t="n">
        <v>138.98</v>
      </c>
      <c r="M1382" s="12" t="n">
        <v>0.1568</v>
      </c>
    </row>
    <row r="1383">
      <c r="A1383" t="inlineStr">
        <is>
          <t>ORD-11691</t>
        </is>
      </c>
      <c r="B1383" s="10" t="inlineStr">
        <is>
          <t>2025-05-03</t>
        </is>
      </c>
      <c r="C1383" t="inlineStr">
        <is>
          <t>Customer 129</t>
        </is>
      </c>
      <c r="D1383" t="inlineStr">
        <is>
          <t>East</t>
        </is>
      </c>
      <c r="E1383" t="inlineStr">
        <is>
          <t>Office Supplies</t>
        </is>
      </c>
      <c r="F1383" t="inlineStr">
        <is>
          <t>Paper</t>
        </is>
      </c>
      <c r="G1383" t="inlineStr">
        <is>
          <t>Same Day</t>
        </is>
      </c>
      <c r="H1383" t="n">
        <v>9</v>
      </c>
      <c r="I1383" s="11" t="n">
        <v>710.54</v>
      </c>
      <c r="J1383" s="12" t="n">
        <v>0.15</v>
      </c>
      <c r="K1383" s="11" t="n">
        <v>5435.63</v>
      </c>
      <c r="L1383" s="11" t="n">
        <v>919.2</v>
      </c>
      <c r="M1383" s="12" t="n">
        <v>0.1691</v>
      </c>
    </row>
    <row r="1384">
      <c r="A1384" t="inlineStr">
        <is>
          <t>ORD-11696</t>
        </is>
      </c>
      <c r="B1384" s="10" t="inlineStr">
        <is>
          <t>2025-05-03</t>
        </is>
      </c>
      <c r="C1384" t="inlineStr">
        <is>
          <t>Customer 111</t>
        </is>
      </c>
      <c r="D1384" t="inlineStr">
        <is>
          <t>South</t>
        </is>
      </c>
      <c r="E1384" t="inlineStr">
        <is>
          <t>Furniture</t>
        </is>
      </c>
      <c r="F1384" t="inlineStr">
        <is>
          <t>Desk</t>
        </is>
      </c>
      <c r="G1384" t="inlineStr">
        <is>
          <t>Standard Class</t>
        </is>
      </c>
      <c r="H1384" t="n">
        <v>11</v>
      </c>
      <c r="I1384" s="11" t="n">
        <v>1081.42</v>
      </c>
      <c r="J1384" s="12" t="n">
        <v>0</v>
      </c>
      <c r="K1384" s="11" t="n">
        <v>11895.62</v>
      </c>
      <c r="L1384" s="11" t="n">
        <v>3131.77</v>
      </c>
      <c r="M1384" s="12" t="n">
        <v>0.2633</v>
      </c>
    </row>
    <row r="1385">
      <c r="A1385" t="inlineStr">
        <is>
          <t>ORD-11169</t>
        </is>
      </c>
      <c r="B1385" s="10" t="inlineStr">
        <is>
          <t>2025-05-04</t>
        </is>
      </c>
      <c r="C1385" t="inlineStr">
        <is>
          <t>Customer 182</t>
        </is>
      </c>
      <c r="D1385" t="inlineStr">
        <is>
          <t>North</t>
        </is>
      </c>
      <c r="E1385" t="inlineStr">
        <is>
          <t>Technology</t>
        </is>
      </c>
      <c r="F1385" t="inlineStr">
        <is>
          <t>Wireless Mouse</t>
        </is>
      </c>
      <c r="G1385" t="inlineStr">
        <is>
          <t>Standard Class</t>
        </is>
      </c>
      <c r="H1385" t="n">
        <v>3</v>
      </c>
      <c r="I1385" s="11" t="n">
        <v>300.55</v>
      </c>
      <c r="J1385" s="12" t="n">
        <v>0</v>
      </c>
      <c r="K1385" s="11" t="n">
        <v>901.65</v>
      </c>
      <c r="L1385" s="11" t="n">
        <v>350.54</v>
      </c>
      <c r="M1385" s="12" t="n">
        <v>0.3888</v>
      </c>
    </row>
    <row r="1386">
      <c r="A1386" t="inlineStr">
        <is>
          <t>ORD-10500</t>
        </is>
      </c>
      <c r="B1386" s="10" t="inlineStr">
        <is>
          <t>2025-05-05</t>
        </is>
      </c>
      <c r="C1386" t="inlineStr">
        <is>
          <t>Customer 182</t>
        </is>
      </c>
      <c r="D1386" t="inlineStr">
        <is>
          <t>North</t>
        </is>
      </c>
      <c r="E1386" t="inlineStr">
        <is>
          <t>Office Supplies</t>
        </is>
      </c>
      <c r="F1386" t="inlineStr">
        <is>
          <t>Stapler</t>
        </is>
      </c>
      <c r="G1386" t="inlineStr">
        <is>
          <t>Second Class</t>
        </is>
      </c>
      <c r="H1386" t="n">
        <v>5</v>
      </c>
      <c r="I1386" s="11" t="n">
        <v>955.65</v>
      </c>
      <c r="J1386" s="12" t="n">
        <v>0</v>
      </c>
      <c r="K1386" s="11" t="n">
        <v>4778.25</v>
      </c>
      <c r="L1386" s="11" t="n">
        <v>1094.95</v>
      </c>
      <c r="M1386" s="12" t="n">
        <v>0.2292</v>
      </c>
    </row>
    <row r="1387">
      <c r="A1387" t="inlineStr">
        <is>
          <t>ORD-11168</t>
        </is>
      </c>
      <c r="B1387" s="10" t="inlineStr">
        <is>
          <t>2025-05-06</t>
        </is>
      </c>
      <c r="C1387" t="inlineStr">
        <is>
          <t>Customer 182</t>
        </is>
      </c>
      <c r="D1387" t="inlineStr">
        <is>
          <t>North</t>
        </is>
      </c>
      <c r="E1387" t="inlineStr">
        <is>
          <t>Office Supplies</t>
        </is>
      </c>
      <c r="F1387" t="inlineStr">
        <is>
          <t>Binder</t>
        </is>
      </c>
      <c r="G1387" t="inlineStr">
        <is>
          <t>Second Class</t>
        </is>
      </c>
      <c r="H1387" t="n">
        <v>4</v>
      </c>
      <c r="I1387" s="11" t="n">
        <v>451.99</v>
      </c>
      <c r="J1387" s="12" t="n">
        <v>0</v>
      </c>
      <c r="K1387" s="11" t="n">
        <v>1807.96</v>
      </c>
      <c r="L1387" s="11" t="n">
        <v>883.91</v>
      </c>
      <c r="M1387" s="12" t="n">
        <v>0.4889</v>
      </c>
    </row>
    <row r="1388">
      <c r="A1388" t="inlineStr">
        <is>
          <t>ORD-11454</t>
        </is>
      </c>
      <c r="B1388" s="10" t="inlineStr">
        <is>
          <t>2025-05-07</t>
        </is>
      </c>
      <c r="C1388" t="inlineStr">
        <is>
          <t>Customer 18</t>
        </is>
      </c>
      <c r="D1388" t="inlineStr">
        <is>
          <t>North</t>
        </is>
      </c>
      <c r="E1388" t="inlineStr">
        <is>
          <t>Furniture</t>
        </is>
      </c>
      <c r="F1388" t="inlineStr">
        <is>
          <t>Desk</t>
        </is>
      </c>
      <c r="G1388" t="inlineStr">
        <is>
          <t>Same Day</t>
        </is>
      </c>
      <c r="H1388" t="n">
        <v>4</v>
      </c>
      <c r="I1388" s="11" t="n">
        <v>839.78</v>
      </c>
      <c r="J1388" s="12" t="n">
        <v>0</v>
      </c>
      <c r="K1388" s="11" t="n">
        <v>3359.12</v>
      </c>
      <c r="L1388" s="11" t="n">
        <v>1505.86</v>
      </c>
      <c r="M1388" s="12" t="n">
        <v>0.4483</v>
      </c>
    </row>
    <row r="1389">
      <c r="A1389" t="inlineStr">
        <is>
          <t>ORD-11456</t>
        </is>
      </c>
      <c r="B1389" s="10" t="inlineStr">
        <is>
          <t>2025-05-07</t>
        </is>
      </c>
      <c r="C1389" t="inlineStr">
        <is>
          <t>Customer 185</t>
        </is>
      </c>
      <c r="D1389" t="inlineStr">
        <is>
          <t>South</t>
        </is>
      </c>
      <c r="E1389" t="inlineStr">
        <is>
          <t>Furniture</t>
        </is>
      </c>
      <c r="F1389" t="inlineStr">
        <is>
          <t>Bookcase</t>
        </is>
      </c>
      <c r="G1389" t="inlineStr">
        <is>
          <t>First Class</t>
        </is>
      </c>
      <c r="H1389" t="n">
        <v>6</v>
      </c>
      <c r="I1389" s="11" t="n">
        <v>811.65</v>
      </c>
      <c r="J1389" s="12" t="n">
        <v>0</v>
      </c>
      <c r="K1389" s="11" t="n">
        <v>4869.9</v>
      </c>
      <c r="L1389" s="11" t="n">
        <v>2337.22</v>
      </c>
      <c r="M1389" s="12" t="n">
        <v>0.4799</v>
      </c>
    </row>
    <row r="1390">
      <c r="A1390" t="inlineStr">
        <is>
          <t>ORD-10087</t>
        </is>
      </c>
      <c r="B1390" s="10" t="inlineStr">
        <is>
          <t>2025-05-07</t>
        </is>
      </c>
      <c r="C1390" t="inlineStr">
        <is>
          <t>Customer 68</t>
        </is>
      </c>
      <c r="D1390" t="inlineStr">
        <is>
          <t>South</t>
        </is>
      </c>
      <c r="E1390" t="inlineStr">
        <is>
          <t>Technology</t>
        </is>
      </c>
      <c r="F1390" t="inlineStr">
        <is>
          <t>Laptop</t>
        </is>
      </c>
      <c r="G1390" t="inlineStr">
        <is>
          <t>Second Class</t>
        </is>
      </c>
      <c r="H1390" t="n">
        <v>4</v>
      </c>
      <c r="I1390" s="11" t="n">
        <v>1064.44</v>
      </c>
      <c r="J1390" s="12" t="n">
        <v>0</v>
      </c>
      <c r="K1390" s="11" t="n">
        <v>4257.76</v>
      </c>
      <c r="L1390" s="11" t="n">
        <v>2002.49</v>
      </c>
      <c r="M1390" s="12" t="n">
        <v>0.4703</v>
      </c>
    </row>
    <row r="1391">
      <c r="A1391" t="inlineStr">
        <is>
          <t>ORD-10306</t>
        </is>
      </c>
      <c r="B1391" s="10" t="inlineStr">
        <is>
          <t>2025-05-07</t>
        </is>
      </c>
      <c r="C1391" t="inlineStr">
        <is>
          <t>Customer 44</t>
        </is>
      </c>
      <c r="D1391" t="inlineStr">
        <is>
          <t>South</t>
        </is>
      </c>
      <c r="E1391" t="inlineStr">
        <is>
          <t>Technology</t>
        </is>
      </c>
      <c r="F1391" t="inlineStr">
        <is>
          <t>Laptop</t>
        </is>
      </c>
      <c r="G1391" t="inlineStr">
        <is>
          <t>First Class</t>
        </is>
      </c>
      <c r="H1391" t="n">
        <v>6</v>
      </c>
      <c r="I1391" s="11" t="n">
        <v>319.85</v>
      </c>
      <c r="J1391" s="12" t="n">
        <v>0</v>
      </c>
      <c r="K1391" s="11" t="n">
        <v>1919.1</v>
      </c>
      <c r="L1391" s="11" t="n">
        <v>725.23</v>
      </c>
      <c r="M1391" s="12" t="n">
        <v>0.3779</v>
      </c>
    </row>
    <row r="1392">
      <c r="A1392" t="inlineStr">
        <is>
          <t>ORD-11392</t>
        </is>
      </c>
      <c r="B1392" s="10" t="inlineStr">
        <is>
          <t>2025-05-08</t>
        </is>
      </c>
      <c r="C1392" t="inlineStr">
        <is>
          <t>Customer 96</t>
        </is>
      </c>
      <c r="D1392" t="inlineStr">
        <is>
          <t>South</t>
        </is>
      </c>
      <c r="E1392" t="inlineStr">
        <is>
          <t>Office Supplies</t>
        </is>
      </c>
      <c r="F1392" t="inlineStr">
        <is>
          <t>Paper</t>
        </is>
      </c>
      <c r="G1392" t="inlineStr">
        <is>
          <t>Second Class</t>
        </is>
      </c>
      <c r="H1392" t="n">
        <v>1</v>
      </c>
      <c r="I1392" s="11" t="n">
        <v>64.56</v>
      </c>
      <c r="J1392" s="12" t="n">
        <v>0.1</v>
      </c>
      <c r="K1392" s="11" t="n">
        <v>58.1</v>
      </c>
      <c r="L1392" s="11" t="n">
        <v>20.43</v>
      </c>
      <c r="M1392" s="12" t="n">
        <v>0.3516</v>
      </c>
    </row>
    <row r="1393">
      <c r="A1393" t="inlineStr">
        <is>
          <t>ORD-11327</t>
        </is>
      </c>
      <c r="B1393" s="10" t="inlineStr">
        <is>
          <t>2025-05-08</t>
        </is>
      </c>
      <c r="C1393" t="inlineStr">
        <is>
          <t>Customer 126</t>
        </is>
      </c>
      <c r="D1393" t="inlineStr">
        <is>
          <t>East</t>
        </is>
      </c>
      <c r="E1393" t="inlineStr">
        <is>
          <t>Furniture</t>
        </is>
      </c>
      <c r="F1393" t="inlineStr">
        <is>
          <t>Desk</t>
        </is>
      </c>
      <c r="G1393" t="inlineStr">
        <is>
          <t>Second Class</t>
        </is>
      </c>
      <c r="H1393" t="n">
        <v>9</v>
      </c>
      <c r="I1393" s="11" t="n">
        <v>594.09</v>
      </c>
      <c r="J1393" s="12" t="n">
        <v>0.1</v>
      </c>
      <c r="K1393" s="11" t="n">
        <v>4812.13</v>
      </c>
      <c r="L1393" s="11" t="n">
        <v>733.87</v>
      </c>
      <c r="M1393" s="12" t="n">
        <v>0.1525</v>
      </c>
    </row>
    <row r="1394">
      <c r="A1394" t="inlineStr">
        <is>
          <t>ORD-11218</t>
        </is>
      </c>
      <c r="B1394" s="10" t="inlineStr">
        <is>
          <t>2025-05-09</t>
        </is>
      </c>
      <c r="C1394" t="inlineStr">
        <is>
          <t>Customer 191</t>
        </is>
      </c>
      <c r="D1394" t="inlineStr">
        <is>
          <t>East</t>
        </is>
      </c>
      <c r="E1394" t="inlineStr">
        <is>
          <t>Technology</t>
        </is>
      </c>
      <c r="F1394" t="inlineStr">
        <is>
          <t>Printer</t>
        </is>
      </c>
      <c r="G1394" t="inlineStr">
        <is>
          <t>Same Day</t>
        </is>
      </c>
      <c r="H1394" t="n">
        <v>1</v>
      </c>
      <c r="I1394" s="11" t="n">
        <v>436.9</v>
      </c>
      <c r="J1394" s="12" t="n">
        <v>0</v>
      </c>
      <c r="K1394" s="11" t="n">
        <v>436.9</v>
      </c>
      <c r="L1394" s="11" t="n">
        <v>181.61</v>
      </c>
      <c r="M1394" s="12" t="n">
        <v>0.4157</v>
      </c>
    </row>
    <row r="1395">
      <c r="A1395" t="inlineStr">
        <is>
          <t>ORD-10246</t>
        </is>
      </c>
      <c r="B1395" s="10" t="inlineStr">
        <is>
          <t>2025-05-09</t>
        </is>
      </c>
      <c r="C1395" t="inlineStr">
        <is>
          <t>Customer 99</t>
        </is>
      </c>
      <c r="D1395" t="inlineStr">
        <is>
          <t>East</t>
        </is>
      </c>
      <c r="E1395" t="inlineStr">
        <is>
          <t>Office Supplies</t>
        </is>
      </c>
      <c r="F1395" t="inlineStr">
        <is>
          <t>Stapler</t>
        </is>
      </c>
      <c r="G1395" t="inlineStr">
        <is>
          <t>Same Day</t>
        </is>
      </c>
      <c r="H1395" t="n">
        <v>4</v>
      </c>
      <c r="I1395" s="11" t="n">
        <v>630.09</v>
      </c>
      <c r="J1395" s="12" t="n">
        <v>0</v>
      </c>
      <c r="K1395" s="11" t="n">
        <v>2520.36</v>
      </c>
      <c r="L1395" s="11" t="n">
        <v>558.6799999999999</v>
      </c>
      <c r="M1395" s="12" t="n">
        <v>0.2217</v>
      </c>
    </row>
    <row r="1396">
      <c r="A1396" t="inlineStr">
        <is>
          <t>ORD-10502</t>
        </is>
      </c>
      <c r="B1396" s="10" t="inlineStr">
        <is>
          <t>2025-05-09</t>
        </is>
      </c>
      <c r="C1396" t="inlineStr">
        <is>
          <t>Customer 57</t>
        </is>
      </c>
      <c r="D1396" t="inlineStr">
        <is>
          <t>East</t>
        </is>
      </c>
      <c r="E1396" t="inlineStr">
        <is>
          <t>Office Supplies</t>
        </is>
      </c>
      <c r="F1396" t="inlineStr">
        <is>
          <t>Binder</t>
        </is>
      </c>
      <c r="G1396" t="inlineStr">
        <is>
          <t>First Class</t>
        </is>
      </c>
      <c r="H1396" t="n">
        <v>7</v>
      </c>
      <c r="I1396" s="11" t="n">
        <v>802.02</v>
      </c>
      <c r="J1396" s="12" t="n">
        <v>0</v>
      </c>
      <c r="K1396" s="11" t="n">
        <v>5614.14</v>
      </c>
      <c r="L1396" s="11" t="n">
        <v>2126.78</v>
      </c>
      <c r="M1396" s="12" t="n">
        <v>0.3788</v>
      </c>
    </row>
    <row r="1397">
      <c r="A1397" t="inlineStr">
        <is>
          <t>ORD-10690</t>
        </is>
      </c>
      <c r="B1397" s="10" t="inlineStr">
        <is>
          <t>2025-05-09</t>
        </is>
      </c>
      <c r="C1397" t="inlineStr">
        <is>
          <t>Customer 129</t>
        </is>
      </c>
      <c r="D1397" t="inlineStr">
        <is>
          <t>East</t>
        </is>
      </c>
      <c r="E1397" t="inlineStr">
        <is>
          <t>Technology</t>
        </is>
      </c>
      <c r="F1397" t="inlineStr">
        <is>
          <t>Laptop</t>
        </is>
      </c>
      <c r="G1397" t="inlineStr">
        <is>
          <t>First Class</t>
        </is>
      </c>
      <c r="H1397" t="n">
        <v>8</v>
      </c>
      <c r="I1397" s="11" t="n">
        <v>949.77</v>
      </c>
      <c r="J1397" s="12" t="n">
        <v>0.15</v>
      </c>
      <c r="K1397" s="11" t="n">
        <v>6458.44</v>
      </c>
      <c r="L1397" s="11" t="n">
        <v>49.83</v>
      </c>
      <c r="M1397" s="12" t="n">
        <v>0.0077</v>
      </c>
    </row>
    <row r="1398">
      <c r="A1398" t="inlineStr">
        <is>
          <t>ORD-10940</t>
        </is>
      </c>
      <c r="B1398" s="10" t="inlineStr">
        <is>
          <t>2025-05-09</t>
        </is>
      </c>
      <c r="C1398" t="inlineStr">
        <is>
          <t>Customer 133</t>
        </is>
      </c>
      <c r="D1398" t="inlineStr">
        <is>
          <t>North</t>
        </is>
      </c>
      <c r="E1398" t="inlineStr">
        <is>
          <t>Furniture</t>
        </is>
      </c>
      <c r="F1398" t="inlineStr">
        <is>
          <t>Chair</t>
        </is>
      </c>
      <c r="G1398" t="inlineStr">
        <is>
          <t>Same Day</t>
        </is>
      </c>
      <c r="H1398" t="n">
        <v>10</v>
      </c>
      <c r="I1398" s="11" t="n">
        <v>477.94</v>
      </c>
      <c r="J1398" s="12" t="n">
        <v>0</v>
      </c>
      <c r="K1398" s="11" t="n">
        <v>4779.4</v>
      </c>
      <c r="L1398" s="11" t="n">
        <v>2337.19</v>
      </c>
      <c r="M1398" s="12" t="n">
        <v>0.489</v>
      </c>
    </row>
    <row r="1399">
      <c r="A1399" t="inlineStr">
        <is>
          <t>ORD-11607</t>
        </is>
      </c>
      <c r="B1399" s="10" t="inlineStr">
        <is>
          <t>2025-05-09</t>
        </is>
      </c>
      <c r="C1399" t="inlineStr">
        <is>
          <t>Customer 41</t>
        </is>
      </c>
      <c r="D1399" t="inlineStr">
        <is>
          <t>North</t>
        </is>
      </c>
      <c r="E1399" t="inlineStr">
        <is>
          <t>Office Supplies</t>
        </is>
      </c>
      <c r="F1399" t="inlineStr">
        <is>
          <t>Stapler</t>
        </is>
      </c>
      <c r="G1399" t="inlineStr">
        <is>
          <t>Same Day</t>
        </is>
      </c>
      <c r="H1399" t="n">
        <v>11</v>
      </c>
      <c r="I1399" s="11" t="n">
        <v>570.76</v>
      </c>
      <c r="J1399" s="12" t="n">
        <v>0</v>
      </c>
      <c r="K1399" s="11" t="n">
        <v>6278.36</v>
      </c>
      <c r="L1399" s="11" t="n">
        <v>1440.72</v>
      </c>
      <c r="M1399" s="12" t="n">
        <v>0.2295</v>
      </c>
    </row>
    <row r="1400">
      <c r="A1400" t="inlineStr">
        <is>
          <t>ORD-10364</t>
        </is>
      </c>
      <c r="B1400" s="10" t="inlineStr">
        <is>
          <t>2025-05-10</t>
        </is>
      </c>
      <c r="C1400" t="inlineStr">
        <is>
          <t>Customer 139</t>
        </is>
      </c>
      <c r="D1400" t="inlineStr">
        <is>
          <t>South</t>
        </is>
      </c>
      <c r="E1400" t="inlineStr">
        <is>
          <t>Office Supplies</t>
        </is>
      </c>
      <c r="F1400" t="inlineStr">
        <is>
          <t>Pens (Box)</t>
        </is>
      </c>
      <c r="G1400" t="inlineStr">
        <is>
          <t>First Class</t>
        </is>
      </c>
      <c r="H1400" t="n">
        <v>7</v>
      </c>
      <c r="I1400" s="11" t="n">
        <v>113.04</v>
      </c>
      <c r="J1400" s="12" t="n">
        <v>0</v>
      </c>
      <c r="K1400" s="11" t="n">
        <v>791.28</v>
      </c>
      <c r="L1400" s="11" t="n">
        <v>334.23</v>
      </c>
      <c r="M1400" s="12" t="n">
        <v>0.4224</v>
      </c>
    </row>
    <row r="1401">
      <c r="A1401" t="inlineStr">
        <is>
          <t>ORD-10634</t>
        </is>
      </c>
      <c r="B1401" s="10" t="inlineStr">
        <is>
          <t>2025-05-10</t>
        </is>
      </c>
      <c r="C1401" t="inlineStr">
        <is>
          <t>Customer 165</t>
        </is>
      </c>
      <c r="D1401" t="inlineStr">
        <is>
          <t>South</t>
        </is>
      </c>
      <c r="E1401" t="inlineStr">
        <is>
          <t>Furniture</t>
        </is>
      </c>
      <c r="F1401" t="inlineStr">
        <is>
          <t>Chair</t>
        </is>
      </c>
      <c r="G1401" t="inlineStr">
        <is>
          <t>Standard Class</t>
        </is>
      </c>
      <c r="H1401" t="n">
        <v>1</v>
      </c>
      <c r="I1401" s="11" t="n">
        <v>90.05</v>
      </c>
      <c r="J1401" s="12" t="n">
        <v>0.3</v>
      </c>
      <c r="K1401" s="11" t="n">
        <v>63.03</v>
      </c>
      <c r="L1401" s="11" t="n">
        <v>-3.57</v>
      </c>
      <c r="M1401" s="12" t="n">
        <v>-0.0566</v>
      </c>
    </row>
    <row r="1402">
      <c r="A1402" t="inlineStr">
        <is>
          <t>ORD-10723</t>
        </is>
      </c>
      <c r="B1402" s="10" t="inlineStr">
        <is>
          <t>2025-05-10</t>
        </is>
      </c>
      <c r="C1402" t="inlineStr">
        <is>
          <t>Customer 103</t>
        </is>
      </c>
      <c r="D1402" t="inlineStr">
        <is>
          <t>West</t>
        </is>
      </c>
      <c r="E1402" t="inlineStr">
        <is>
          <t>Office Supplies</t>
        </is>
      </c>
      <c r="F1402" t="inlineStr">
        <is>
          <t>Stapler</t>
        </is>
      </c>
      <c r="G1402" t="inlineStr">
        <is>
          <t>First Class</t>
        </is>
      </c>
      <c r="H1402" t="n">
        <v>4</v>
      </c>
      <c r="I1402" s="11" t="n">
        <v>221.84</v>
      </c>
      <c r="J1402" s="12" t="n">
        <v>0</v>
      </c>
      <c r="K1402" s="11" t="n">
        <v>887.36</v>
      </c>
      <c r="L1402" s="11" t="n">
        <v>294.85</v>
      </c>
      <c r="M1402" s="12" t="n">
        <v>0.3323</v>
      </c>
    </row>
    <row r="1403">
      <c r="A1403" t="inlineStr">
        <is>
          <t>ORD-11312</t>
        </is>
      </c>
      <c r="B1403" s="10" t="inlineStr">
        <is>
          <t>2025-05-11</t>
        </is>
      </c>
      <c r="C1403" t="inlineStr">
        <is>
          <t>Customer 62</t>
        </is>
      </c>
      <c r="D1403" t="inlineStr">
        <is>
          <t>East</t>
        </is>
      </c>
      <c r="E1403" t="inlineStr">
        <is>
          <t>Furniture</t>
        </is>
      </c>
      <c r="F1403" t="inlineStr">
        <is>
          <t>Chair</t>
        </is>
      </c>
      <c r="G1403" t="inlineStr">
        <is>
          <t>Same Day</t>
        </is>
      </c>
      <c r="H1403" t="n">
        <v>8</v>
      </c>
      <c r="I1403" s="11" t="n">
        <v>414.98</v>
      </c>
      <c r="J1403" s="12" t="n">
        <v>0</v>
      </c>
      <c r="K1403" s="11" t="n">
        <v>3319.84</v>
      </c>
      <c r="L1403" s="11" t="n">
        <v>1308.62</v>
      </c>
      <c r="M1403" s="12" t="n">
        <v>0.3942</v>
      </c>
    </row>
    <row r="1404">
      <c r="A1404" t="inlineStr">
        <is>
          <t>ORD-10714</t>
        </is>
      </c>
      <c r="B1404" s="10" t="inlineStr">
        <is>
          <t>2025-05-12</t>
        </is>
      </c>
      <c r="C1404" t="inlineStr">
        <is>
          <t>Customer 140</t>
        </is>
      </c>
      <c r="D1404" t="inlineStr">
        <is>
          <t>South</t>
        </is>
      </c>
      <c r="E1404" t="inlineStr">
        <is>
          <t>Technology</t>
        </is>
      </c>
      <c r="F1404" t="inlineStr">
        <is>
          <t>Printer</t>
        </is>
      </c>
      <c r="G1404" t="inlineStr">
        <is>
          <t>Standard Class</t>
        </is>
      </c>
      <c r="H1404" t="n">
        <v>9</v>
      </c>
      <c r="I1404" s="11" t="n">
        <v>64.19</v>
      </c>
      <c r="J1404" s="12" t="n">
        <v>0</v>
      </c>
      <c r="K1404" s="11" t="n">
        <v>577.71</v>
      </c>
      <c r="L1404" s="11" t="n">
        <v>159.78</v>
      </c>
      <c r="M1404" s="12" t="n">
        <v>0.2766</v>
      </c>
    </row>
    <row r="1405">
      <c r="A1405" t="inlineStr">
        <is>
          <t>ORD-10784</t>
        </is>
      </c>
      <c r="B1405" s="10" t="inlineStr">
        <is>
          <t>2025-05-12</t>
        </is>
      </c>
      <c r="C1405" t="inlineStr">
        <is>
          <t>Customer 73</t>
        </is>
      </c>
      <c r="D1405" t="inlineStr">
        <is>
          <t>South</t>
        </is>
      </c>
      <c r="E1405" t="inlineStr">
        <is>
          <t>Office Supplies</t>
        </is>
      </c>
      <c r="F1405" t="inlineStr">
        <is>
          <t>Stapler</t>
        </is>
      </c>
      <c r="G1405" t="inlineStr">
        <is>
          <t>Same Day</t>
        </is>
      </c>
      <c r="H1405" t="n">
        <v>3</v>
      </c>
      <c r="I1405" s="11" t="n">
        <v>151.28</v>
      </c>
      <c r="J1405" s="12" t="n">
        <v>0.1</v>
      </c>
      <c r="K1405" s="11" t="n">
        <v>408.46</v>
      </c>
      <c r="L1405" s="11" t="n">
        <v>41.7</v>
      </c>
      <c r="M1405" s="12" t="n">
        <v>0.1021</v>
      </c>
    </row>
    <row r="1406">
      <c r="A1406" t="inlineStr">
        <is>
          <t>ORD-10871</t>
        </is>
      </c>
      <c r="B1406" s="10" t="inlineStr">
        <is>
          <t>2025-05-12</t>
        </is>
      </c>
      <c r="C1406" t="inlineStr">
        <is>
          <t>Customer 123</t>
        </is>
      </c>
      <c r="D1406" t="inlineStr">
        <is>
          <t>East</t>
        </is>
      </c>
      <c r="E1406" t="inlineStr">
        <is>
          <t>Technology</t>
        </is>
      </c>
      <c r="F1406" t="inlineStr">
        <is>
          <t>Laptop</t>
        </is>
      </c>
      <c r="G1406" t="inlineStr">
        <is>
          <t>Standard Class</t>
        </is>
      </c>
      <c r="H1406" t="n">
        <v>2</v>
      </c>
      <c r="I1406" s="11" t="n">
        <v>594.39</v>
      </c>
      <c r="J1406" s="12" t="n">
        <v>0</v>
      </c>
      <c r="K1406" s="11" t="n">
        <v>1188.78</v>
      </c>
      <c r="L1406" s="11" t="n">
        <v>572.27</v>
      </c>
      <c r="M1406" s="12" t="n">
        <v>0.4814</v>
      </c>
    </row>
    <row r="1407">
      <c r="A1407" t="inlineStr">
        <is>
          <t>ORD-11183</t>
        </is>
      </c>
      <c r="B1407" s="10" t="inlineStr">
        <is>
          <t>2025-05-12</t>
        </is>
      </c>
      <c r="C1407" t="inlineStr">
        <is>
          <t>Customer 59</t>
        </is>
      </c>
      <c r="D1407" t="inlineStr">
        <is>
          <t>East</t>
        </is>
      </c>
      <c r="E1407" t="inlineStr">
        <is>
          <t>Furniture</t>
        </is>
      </c>
      <c r="F1407" t="inlineStr">
        <is>
          <t>Desk</t>
        </is>
      </c>
      <c r="G1407" t="inlineStr">
        <is>
          <t>Same Day</t>
        </is>
      </c>
      <c r="H1407" t="n">
        <v>5</v>
      </c>
      <c r="I1407" s="11" t="n">
        <v>1158.34</v>
      </c>
      <c r="J1407" s="12" t="n">
        <v>0.1</v>
      </c>
      <c r="K1407" s="11" t="n">
        <v>5212.53</v>
      </c>
      <c r="L1407" s="11" t="n">
        <v>600.51</v>
      </c>
      <c r="M1407" s="12" t="n">
        <v>0.1152</v>
      </c>
    </row>
    <row r="1408">
      <c r="A1408" t="inlineStr">
        <is>
          <t>ORD-11700</t>
        </is>
      </c>
      <c r="B1408" s="10" t="inlineStr">
        <is>
          <t>2025-05-13</t>
        </is>
      </c>
      <c r="C1408" t="inlineStr">
        <is>
          <t>Customer 19</t>
        </is>
      </c>
      <c r="D1408" t="inlineStr">
        <is>
          <t>South</t>
        </is>
      </c>
      <c r="E1408" t="inlineStr">
        <is>
          <t>Office Supplies</t>
        </is>
      </c>
      <c r="F1408" t="inlineStr">
        <is>
          <t>Paper</t>
        </is>
      </c>
      <c r="G1408" t="inlineStr">
        <is>
          <t>Standard Class</t>
        </is>
      </c>
      <c r="H1408" t="n">
        <v>6</v>
      </c>
      <c r="I1408" s="11" t="n">
        <v>598.415</v>
      </c>
      <c r="J1408" s="12" t="n">
        <v>0</v>
      </c>
      <c r="K1408" s="11" t="n">
        <v>762.55</v>
      </c>
      <c r="L1408" s="11" t="n">
        <v>658.67</v>
      </c>
      <c r="M1408" s="12" t="n">
        <v>0.8638</v>
      </c>
    </row>
    <row r="1409">
      <c r="A1409" t="inlineStr">
        <is>
          <t>ORD-10631</t>
        </is>
      </c>
      <c r="B1409" s="10" t="inlineStr">
        <is>
          <t>2025-05-13</t>
        </is>
      </c>
      <c r="C1409" t="inlineStr">
        <is>
          <t>Customer 120</t>
        </is>
      </c>
      <c r="D1409" t="inlineStr">
        <is>
          <t>North</t>
        </is>
      </c>
      <c r="E1409" t="inlineStr">
        <is>
          <t>Technology</t>
        </is>
      </c>
      <c r="F1409" t="inlineStr">
        <is>
          <t>Wireless Mouse</t>
        </is>
      </c>
      <c r="G1409" t="inlineStr">
        <is>
          <t>Standard Class</t>
        </is>
      </c>
      <c r="H1409" t="n">
        <v>2</v>
      </c>
      <c r="I1409" s="11" t="n">
        <v>1062.11</v>
      </c>
      <c r="J1409" s="12" t="n">
        <v>0</v>
      </c>
      <c r="K1409" s="11" t="n">
        <v>2124.22</v>
      </c>
      <c r="L1409" s="11" t="n">
        <v>986.01</v>
      </c>
      <c r="M1409" s="12" t="n">
        <v>0.4642</v>
      </c>
    </row>
    <row r="1410">
      <c r="A1410" t="inlineStr">
        <is>
          <t>ORD-11620</t>
        </is>
      </c>
      <c r="B1410" s="10" t="inlineStr">
        <is>
          <t>2025-05-13</t>
        </is>
      </c>
      <c r="C1410" t="inlineStr">
        <is>
          <t>Customer 135</t>
        </is>
      </c>
      <c r="D1410" t="inlineStr">
        <is>
          <t>West</t>
        </is>
      </c>
      <c r="E1410" t="inlineStr">
        <is>
          <t>Office Supplies</t>
        </is>
      </c>
      <c r="F1410" t="inlineStr">
        <is>
          <t>Binder</t>
        </is>
      </c>
      <c r="G1410" t="inlineStr">
        <is>
          <t>First Class</t>
        </is>
      </c>
      <c r="H1410" t="n">
        <v>2</v>
      </c>
      <c r="I1410" s="11" t="n">
        <v>288.4</v>
      </c>
      <c r="J1410" s="12" t="n">
        <v>0</v>
      </c>
      <c r="K1410" s="11" t="n">
        <v>576.8</v>
      </c>
      <c r="L1410" s="11" t="n">
        <v>115.77</v>
      </c>
      <c r="M1410" s="12" t="n">
        <v>0.2007</v>
      </c>
    </row>
    <row r="1411">
      <c r="A1411" t="inlineStr">
        <is>
          <t>ORD-11652</t>
        </is>
      </c>
      <c r="B1411" s="10" t="inlineStr">
        <is>
          <t>2025-05-14</t>
        </is>
      </c>
      <c r="C1411" t="inlineStr">
        <is>
          <t>Customer 154</t>
        </is>
      </c>
      <c r="D1411" t="inlineStr">
        <is>
          <t>South</t>
        </is>
      </c>
      <c r="E1411" t="inlineStr">
        <is>
          <t>Furniture</t>
        </is>
      </c>
      <c r="F1411" t="inlineStr">
        <is>
          <t>Desk</t>
        </is>
      </c>
      <c r="G1411" t="inlineStr">
        <is>
          <t>First Class</t>
        </is>
      </c>
      <c r="H1411" t="n">
        <v>3</v>
      </c>
      <c r="I1411" s="11" t="n">
        <v>398.93</v>
      </c>
      <c r="J1411" s="12" t="n">
        <v>0</v>
      </c>
      <c r="K1411" s="11" t="n">
        <v>1196.79</v>
      </c>
      <c r="L1411" s="11" t="n">
        <v>453.88</v>
      </c>
      <c r="M1411" s="12" t="n">
        <v>0.3792</v>
      </c>
    </row>
    <row r="1412">
      <c r="A1412" t="inlineStr">
        <is>
          <t>ORD-10425</t>
        </is>
      </c>
      <c r="B1412" s="10" t="inlineStr">
        <is>
          <t>2025-05-14</t>
        </is>
      </c>
      <c r="C1412" t="inlineStr">
        <is>
          <t>Customer 128</t>
        </is>
      </c>
      <c r="D1412" t="inlineStr">
        <is>
          <t>West</t>
        </is>
      </c>
      <c r="E1412" t="inlineStr">
        <is>
          <t>Technology</t>
        </is>
      </c>
      <c r="F1412" t="inlineStr">
        <is>
          <t>Wireless Mouse</t>
        </is>
      </c>
      <c r="G1412" t="inlineStr">
        <is>
          <t>Standard Class</t>
        </is>
      </c>
      <c r="H1412" t="n">
        <v>5</v>
      </c>
      <c r="I1412" s="11" t="n">
        <v>898.61</v>
      </c>
      <c r="J1412" s="12" t="n">
        <v>0</v>
      </c>
      <c r="K1412" s="11" t="n">
        <v>4493.05</v>
      </c>
      <c r="L1412" s="11" t="n">
        <v>1594.81</v>
      </c>
      <c r="M1412" s="12" t="n">
        <v>0.355</v>
      </c>
    </row>
    <row r="1413">
      <c r="A1413" t="inlineStr">
        <is>
          <t>ORD-11239</t>
        </is>
      </c>
      <c r="B1413" s="10" t="inlineStr">
        <is>
          <t>2025-05-15</t>
        </is>
      </c>
      <c r="C1413" t="inlineStr">
        <is>
          <t>Customer 157</t>
        </is>
      </c>
      <c r="D1413" t="inlineStr">
        <is>
          <t>North</t>
        </is>
      </c>
      <c r="E1413" t="inlineStr">
        <is>
          <t>Furniture</t>
        </is>
      </c>
      <c r="F1413" t="inlineStr">
        <is>
          <t>Chair</t>
        </is>
      </c>
      <c r="G1413" t="inlineStr">
        <is>
          <t>First Class</t>
        </is>
      </c>
      <c r="H1413" t="n">
        <v>10</v>
      </c>
      <c r="I1413" s="11" t="n">
        <v>115.8</v>
      </c>
      <c r="J1413" s="12" t="n">
        <v>0</v>
      </c>
      <c r="K1413" s="11" t="n">
        <v>1158</v>
      </c>
      <c r="L1413" s="11" t="n">
        <v>368.02</v>
      </c>
      <c r="M1413" s="12" t="n">
        <v>0.3178</v>
      </c>
    </row>
    <row r="1414">
      <c r="A1414" t="inlineStr">
        <is>
          <t>ORD-10309</t>
        </is>
      </c>
      <c r="B1414" s="10" t="inlineStr">
        <is>
          <t>2025-05-15</t>
        </is>
      </c>
      <c r="C1414" t="inlineStr">
        <is>
          <t>Customer 87</t>
        </is>
      </c>
      <c r="D1414" t="inlineStr">
        <is>
          <t>North</t>
        </is>
      </c>
      <c r="E1414" t="inlineStr">
        <is>
          <t>Office Supplies</t>
        </is>
      </c>
      <c r="F1414" t="inlineStr">
        <is>
          <t>Pens (Box)</t>
        </is>
      </c>
      <c r="G1414" t="inlineStr">
        <is>
          <t>Second Class</t>
        </is>
      </c>
      <c r="H1414" t="n">
        <v>11</v>
      </c>
      <c r="I1414" s="11" t="n">
        <v>729.8099999999999</v>
      </c>
      <c r="J1414" s="12" t="n">
        <v>0.1</v>
      </c>
      <c r="K1414" s="11" t="n">
        <v>7225.12</v>
      </c>
      <c r="L1414" s="11" t="n">
        <v>1206.15</v>
      </c>
      <c r="M1414" s="12" t="n">
        <v>0.1669</v>
      </c>
    </row>
    <row r="1415">
      <c r="A1415" t="inlineStr">
        <is>
          <t>ORD-11871</t>
        </is>
      </c>
      <c r="B1415" s="10" t="inlineStr">
        <is>
          <t>2025-05-15</t>
        </is>
      </c>
      <c r="C1415" t="inlineStr">
        <is>
          <t>Customer 111</t>
        </is>
      </c>
      <c r="D1415" t="inlineStr">
        <is>
          <t>South</t>
        </is>
      </c>
      <c r="E1415" t="inlineStr">
        <is>
          <t>Office Supplies</t>
        </is>
      </c>
      <c r="F1415" t="inlineStr">
        <is>
          <t>Pens (Box)</t>
        </is>
      </c>
      <c r="G1415" t="inlineStr">
        <is>
          <t>First Class</t>
        </is>
      </c>
      <c r="H1415" t="n">
        <v>8</v>
      </c>
      <c r="I1415" s="11" t="n">
        <v>10.03</v>
      </c>
      <c r="J1415" s="12" t="n">
        <v>0</v>
      </c>
      <c r="K1415" s="11" t="n">
        <v>80.23999999999999</v>
      </c>
      <c r="L1415" s="11" t="n">
        <v>18.68</v>
      </c>
      <c r="M1415" s="12" t="n">
        <v>0.2328</v>
      </c>
    </row>
    <row r="1416">
      <c r="A1416" t="inlineStr">
        <is>
          <t>ORD-10921</t>
        </is>
      </c>
      <c r="B1416" s="10" t="inlineStr">
        <is>
          <t>2025-05-16</t>
        </is>
      </c>
      <c r="C1416" t="inlineStr">
        <is>
          <t>Customer 142</t>
        </is>
      </c>
      <c r="D1416" t="inlineStr">
        <is>
          <t>North</t>
        </is>
      </c>
      <c r="E1416" t="inlineStr">
        <is>
          <t>Furniture</t>
        </is>
      </c>
      <c r="F1416" t="inlineStr">
        <is>
          <t>Chair</t>
        </is>
      </c>
      <c r="G1416" t="inlineStr">
        <is>
          <t>First Class</t>
        </is>
      </c>
      <c r="H1416" t="n">
        <v>1</v>
      </c>
      <c r="I1416" s="11" t="n">
        <v>689.38</v>
      </c>
      <c r="J1416" s="12" t="n">
        <v>0</v>
      </c>
      <c r="K1416" s="11" t="n">
        <v>689.38</v>
      </c>
      <c r="L1416" s="11" t="n">
        <v>321.58</v>
      </c>
      <c r="M1416" s="12" t="n">
        <v>0.4665</v>
      </c>
    </row>
    <row r="1417">
      <c r="A1417" t="inlineStr">
        <is>
          <t>ORD-10414</t>
        </is>
      </c>
      <c r="B1417" s="10" t="inlineStr">
        <is>
          <t>2025-05-16</t>
        </is>
      </c>
      <c r="C1417" t="inlineStr">
        <is>
          <t>Customer 79</t>
        </is>
      </c>
      <c r="D1417" t="inlineStr">
        <is>
          <t>East</t>
        </is>
      </c>
      <c r="E1417" t="inlineStr">
        <is>
          <t>Office Supplies</t>
        </is>
      </c>
      <c r="F1417" t="inlineStr">
        <is>
          <t>Stapler</t>
        </is>
      </c>
      <c r="G1417" t="inlineStr">
        <is>
          <t>Same Day</t>
        </is>
      </c>
      <c r="H1417" t="n">
        <v>3</v>
      </c>
      <c r="I1417" s="11" t="n">
        <v>649.3099999999999</v>
      </c>
      <c r="J1417" s="12" t="n">
        <v>0.2</v>
      </c>
      <c r="K1417" s="11" t="n">
        <v>1558.34</v>
      </c>
      <c r="L1417" s="11" t="n">
        <v>321.61</v>
      </c>
      <c r="M1417" s="12" t="n">
        <v>0.2064</v>
      </c>
    </row>
    <row r="1418">
      <c r="A1418" t="inlineStr">
        <is>
          <t>ORD-11497</t>
        </is>
      </c>
      <c r="B1418" s="10" t="inlineStr">
        <is>
          <t>2025-05-17</t>
        </is>
      </c>
      <c r="C1418" t="inlineStr">
        <is>
          <t>Customer 52</t>
        </is>
      </c>
      <c r="D1418" t="inlineStr">
        <is>
          <t>South</t>
        </is>
      </c>
      <c r="E1418" t="inlineStr">
        <is>
          <t>Technology</t>
        </is>
      </c>
      <c r="F1418" t="inlineStr">
        <is>
          <t>Monitor</t>
        </is>
      </c>
      <c r="G1418" t="inlineStr">
        <is>
          <t>Standard Class</t>
        </is>
      </c>
      <c r="H1418" t="n">
        <v>6</v>
      </c>
      <c r="I1418" s="11" t="n">
        <v>643.55</v>
      </c>
      <c r="J1418" s="12" t="n">
        <v>0</v>
      </c>
      <c r="K1418" s="11" t="n">
        <v>1091.88</v>
      </c>
      <c r="L1418" s="11" t="n">
        <v>646.9449999999999</v>
      </c>
      <c r="M1418" s="12" t="n">
        <v>0.5925</v>
      </c>
    </row>
    <row r="1419">
      <c r="A1419" t="inlineStr">
        <is>
          <t>ORD-11155</t>
        </is>
      </c>
      <c r="B1419" s="10" t="inlineStr">
        <is>
          <t>2025-05-18</t>
        </is>
      </c>
      <c r="C1419" t="inlineStr">
        <is>
          <t>Customer 91</t>
        </is>
      </c>
      <c r="D1419" t="inlineStr">
        <is>
          <t>South</t>
        </is>
      </c>
      <c r="E1419" t="inlineStr">
        <is>
          <t>Office Supplies</t>
        </is>
      </c>
      <c r="F1419" t="inlineStr">
        <is>
          <t>Paper</t>
        </is>
      </c>
      <c r="G1419" t="inlineStr">
        <is>
          <t>Standard Class</t>
        </is>
      </c>
      <c r="H1419" t="n">
        <v>6</v>
      </c>
      <c r="I1419" s="11" t="n">
        <v>690.77</v>
      </c>
      <c r="J1419" s="12" t="n">
        <v>0.15</v>
      </c>
      <c r="K1419" s="11" t="n">
        <v>3522.93</v>
      </c>
      <c r="L1419" s="11" t="n">
        <v>20.84</v>
      </c>
      <c r="M1419" s="12" t="n">
        <v>0.0059</v>
      </c>
    </row>
    <row r="1420">
      <c r="A1420" t="inlineStr">
        <is>
          <t>ORD-11494</t>
        </is>
      </c>
      <c r="B1420" s="10" t="inlineStr">
        <is>
          <t>2025-05-18</t>
        </is>
      </c>
      <c r="C1420" t="inlineStr">
        <is>
          <t>Customer 68</t>
        </is>
      </c>
      <c r="D1420" t="inlineStr">
        <is>
          <t>South</t>
        </is>
      </c>
      <c r="E1420" t="inlineStr">
        <is>
          <t>Furniture</t>
        </is>
      </c>
      <c r="F1420" t="inlineStr">
        <is>
          <t>Table Lamp</t>
        </is>
      </c>
      <c r="G1420" t="inlineStr">
        <is>
          <t>Second Class</t>
        </is>
      </c>
      <c r="H1420" t="n">
        <v>6</v>
      </c>
      <c r="I1420" s="11" t="n">
        <v>72.7</v>
      </c>
      <c r="J1420" s="12" t="n">
        <v>0</v>
      </c>
      <c r="K1420" s="11" t="n">
        <v>436.2</v>
      </c>
      <c r="L1420" s="11" t="n">
        <v>100.89</v>
      </c>
      <c r="M1420" s="12" t="n">
        <v>0.2313</v>
      </c>
    </row>
    <row r="1421">
      <c r="A1421" t="inlineStr">
        <is>
          <t>ORD-11672</t>
        </is>
      </c>
      <c r="B1421" s="10" t="inlineStr">
        <is>
          <t>2025-05-18</t>
        </is>
      </c>
      <c r="C1421" t="inlineStr">
        <is>
          <t>Customer 118</t>
        </is>
      </c>
      <c r="D1421" t="inlineStr">
        <is>
          <t>North</t>
        </is>
      </c>
      <c r="E1421" t="inlineStr">
        <is>
          <t>Office Supplies</t>
        </is>
      </c>
      <c r="F1421" t="inlineStr">
        <is>
          <t>Pens (Box)</t>
        </is>
      </c>
      <c r="G1421" t="inlineStr">
        <is>
          <t>Same Day</t>
        </is>
      </c>
      <c r="H1421" t="n">
        <v>4</v>
      </c>
      <c r="I1421" s="11" t="n">
        <v>645.88</v>
      </c>
      <c r="J1421" s="12" t="n">
        <v>0</v>
      </c>
      <c r="K1421" s="11" t="n">
        <v>2583.52</v>
      </c>
      <c r="L1421" s="11" t="n">
        <v>827.67</v>
      </c>
      <c r="M1421" s="12" t="n">
        <v>0.3204</v>
      </c>
    </row>
    <row r="1422">
      <c r="A1422" t="inlineStr">
        <is>
          <t>ORD-11371</t>
        </is>
      </c>
      <c r="B1422" s="10" t="inlineStr">
        <is>
          <t>2025-05-20</t>
        </is>
      </c>
      <c r="C1422" t="inlineStr">
        <is>
          <t>Customer 54</t>
        </is>
      </c>
      <c r="D1422" t="inlineStr">
        <is>
          <t>South</t>
        </is>
      </c>
      <c r="E1422" t="inlineStr">
        <is>
          <t>Office Supplies</t>
        </is>
      </c>
      <c r="F1422" t="inlineStr">
        <is>
          <t>Pens (Box)</t>
        </is>
      </c>
      <c r="G1422" t="inlineStr">
        <is>
          <t>Same Day</t>
        </is>
      </c>
      <c r="H1422" t="n">
        <v>2</v>
      </c>
      <c r="I1422" s="11" t="n">
        <v>659.63</v>
      </c>
      <c r="J1422" s="12" t="n">
        <v>0.1</v>
      </c>
      <c r="K1422" s="11" t="n">
        <v>1187.33</v>
      </c>
      <c r="L1422" s="11" t="n">
        <v>512.8200000000001</v>
      </c>
      <c r="M1422" s="12" t="n">
        <v>0.4319</v>
      </c>
    </row>
    <row r="1423">
      <c r="A1423" t="inlineStr">
        <is>
          <t>ORD-10331</t>
        </is>
      </c>
      <c r="B1423" s="10" t="inlineStr">
        <is>
          <t>2025-05-20</t>
        </is>
      </c>
      <c r="C1423" t="inlineStr">
        <is>
          <t>Customer 153</t>
        </is>
      </c>
      <c r="D1423" t="inlineStr">
        <is>
          <t>West</t>
        </is>
      </c>
      <c r="E1423" t="inlineStr">
        <is>
          <t>Furniture</t>
        </is>
      </c>
      <c r="F1423" t="inlineStr">
        <is>
          <t>Bookcase</t>
        </is>
      </c>
      <c r="G1423" t="inlineStr">
        <is>
          <t>Same Day</t>
        </is>
      </c>
      <c r="H1423" t="n">
        <v>3</v>
      </c>
      <c r="I1423" s="11" t="n">
        <v>754.21</v>
      </c>
      <c r="J1423" s="12" t="n">
        <v>0</v>
      </c>
      <c r="K1423" s="11" t="n">
        <v>2262.63</v>
      </c>
      <c r="L1423" s="11" t="n">
        <v>857.8</v>
      </c>
      <c r="M1423" s="12" t="n">
        <v>0.3791</v>
      </c>
    </row>
    <row r="1424">
      <c r="A1424" t="inlineStr">
        <is>
          <t>ORD-10857</t>
        </is>
      </c>
      <c r="B1424" s="10" t="inlineStr">
        <is>
          <t>2025-05-20</t>
        </is>
      </c>
      <c r="C1424" t="inlineStr">
        <is>
          <t>Customer 95</t>
        </is>
      </c>
      <c r="D1424" t="inlineStr">
        <is>
          <t>West</t>
        </is>
      </c>
      <c r="E1424" t="inlineStr">
        <is>
          <t>Furniture</t>
        </is>
      </c>
      <c r="F1424" t="inlineStr">
        <is>
          <t>Table Lamp</t>
        </is>
      </c>
      <c r="G1424" t="inlineStr">
        <is>
          <t>Same Day</t>
        </is>
      </c>
      <c r="H1424" t="n">
        <v>8</v>
      </c>
      <c r="I1424" s="11" t="n">
        <v>312.28</v>
      </c>
      <c r="J1424" s="12" t="n">
        <v>0.15</v>
      </c>
      <c r="K1424" s="11" t="n">
        <v>2123.5</v>
      </c>
      <c r="L1424" s="11" t="n">
        <v>299.76</v>
      </c>
      <c r="M1424" s="12" t="n">
        <v>0.1412</v>
      </c>
    </row>
    <row r="1425">
      <c r="A1425" t="inlineStr">
        <is>
          <t>ORD-11505</t>
        </is>
      </c>
      <c r="B1425" s="10" t="inlineStr">
        <is>
          <t>2025-05-20</t>
        </is>
      </c>
      <c r="C1425" t="inlineStr">
        <is>
          <t>Customer 40</t>
        </is>
      </c>
      <c r="D1425" t="inlineStr">
        <is>
          <t>East</t>
        </is>
      </c>
      <c r="E1425" t="inlineStr">
        <is>
          <t>Office Supplies</t>
        </is>
      </c>
      <c r="F1425" t="inlineStr">
        <is>
          <t>Stapler</t>
        </is>
      </c>
      <c r="G1425" t="inlineStr">
        <is>
          <t>Same Day</t>
        </is>
      </c>
      <c r="H1425" t="n">
        <v>10</v>
      </c>
      <c r="I1425" s="11" t="n">
        <v>214.47</v>
      </c>
      <c r="J1425" s="12" t="n">
        <v>0</v>
      </c>
      <c r="K1425" s="11" t="n">
        <v>2144.7</v>
      </c>
      <c r="L1425" s="11" t="n">
        <v>894.08</v>
      </c>
      <c r="M1425" s="12" t="n">
        <v>0.4169</v>
      </c>
    </row>
    <row r="1426">
      <c r="A1426" t="inlineStr">
        <is>
          <t>ORD-10418</t>
        </is>
      </c>
      <c r="B1426" s="10" t="inlineStr">
        <is>
          <t>2025-05-21</t>
        </is>
      </c>
      <c r="C1426" t="inlineStr">
        <is>
          <t>Customer 64</t>
        </is>
      </c>
      <c r="D1426" t="inlineStr">
        <is>
          <t>West</t>
        </is>
      </c>
      <c r="E1426" t="inlineStr">
        <is>
          <t>Furniture</t>
        </is>
      </c>
      <c r="F1426" t="inlineStr">
        <is>
          <t>Table Lamp</t>
        </is>
      </c>
      <c r="G1426" t="inlineStr">
        <is>
          <t>Second Class</t>
        </is>
      </c>
      <c r="H1426" t="n">
        <v>3</v>
      </c>
      <c r="I1426" s="11" t="n">
        <v>52.74</v>
      </c>
      <c r="J1426" s="12" t="n">
        <v>0</v>
      </c>
      <c r="K1426" s="11" t="n">
        <v>158.22</v>
      </c>
      <c r="L1426" s="11" t="n">
        <v>48.17</v>
      </c>
      <c r="M1426" s="12" t="n">
        <v>0.3044</v>
      </c>
    </row>
    <row r="1427">
      <c r="A1427" t="inlineStr">
        <is>
          <t>ORD-11196</t>
        </is>
      </c>
      <c r="B1427" s="10" t="inlineStr">
        <is>
          <t>2025-05-21</t>
        </is>
      </c>
      <c r="C1427" t="inlineStr">
        <is>
          <t>Customer 82</t>
        </is>
      </c>
      <c r="D1427" t="inlineStr">
        <is>
          <t>South</t>
        </is>
      </c>
      <c r="E1427" t="inlineStr">
        <is>
          <t>Office Supplies</t>
        </is>
      </c>
      <c r="F1427" t="inlineStr">
        <is>
          <t>Stapler</t>
        </is>
      </c>
      <c r="G1427" t="inlineStr">
        <is>
          <t>Standard Class</t>
        </is>
      </c>
      <c r="H1427" t="n">
        <v>8</v>
      </c>
      <c r="I1427" s="11" t="n">
        <v>44.95</v>
      </c>
      <c r="J1427" s="12" t="n">
        <v>0</v>
      </c>
      <c r="K1427" s="11" t="n">
        <v>359.6</v>
      </c>
      <c r="L1427" s="11" t="n">
        <v>146.91</v>
      </c>
      <c r="M1427" s="12" t="n">
        <v>0.4085</v>
      </c>
    </row>
    <row r="1428">
      <c r="A1428" t="inlineStr">
        <is>
          <t>ORD-11629</t>
        </is>
      </c>
      <c r="B1428" s="10" t="inlineStr">
        <is>
          <t>2025-05-21</t>
        </is>
      </c>
      <c r="C1428" t="inlineStr">
        <is>
          <t>Customer 127</t>
        </is>
      </c>
      <c r="D1428" t="inlineStr">
        <is>
          <t>North</t>
        </is>
      </c>
      <c r="E1428" t="inlineStr">
        <is>
          <t>Office Supplies</t>
        </is>
      </c>
      <c r="F1428" t="inlineStr">
        <is>
          <t>Pens (Box)</t>
        </is>
      </c>
      <c r="G1428" t="inlineStr">
        <is>
          <t>First Class</t>
        </is>
      </c>
      <c r="H1428" t="n">
        <v>10</v>
      </c>
      <c r="I1428" s="11" t="n">
        <v>838.96</v>
      </c>
      <c r="J1428" s="12" t="n">
        <v>0</v>
      </c>
      <c r="K1428" s="11" t="n">
        <v>8389.6</v>
      </c>
      <c r="L1428" s="11" t="n">
        <v>1763.85</v>
      </c>
      <c r="M1428" s="12" t="n">
        <v>0.2102</v>
      </c>
    </row>
    <row r="1429">
      <c r="A1429" t="inlineStr">
        <is>
          <t>ORD-10785</t>
        </is>
      </c>
      <c r="B1429" s="10" t="inlineStr">
        <is>
          <t>2025-05-21</t>
        </is>
      </c>
      <c r="C1429" t="inlineStr">
        <is>
          <t>Customer 17</t>
        </is>
      </c>
      <c r="D1429" t="inlineStr">
        <is>
          <t>East</t>
        </is>
      </c>
      <c r="E1429" t="inlineStr">
        <is>
          <t>Technology</t>
        </is>
      </c>
      <c r="F1429" t="inlineStr">
        <is>
          <t>Monitor</t>
        </is>
      </c>
      <c r="G1429" t="inlineStr">
        <is>
          <t>Same Day</t>
        </is>
      </c>
      <c r="H1429" t="n">
        <v>4</v>
      </c>
      <c r="I1429" s="11" t="n">
        <v>905.2</v>
      </c>
      <c r="J1429" s="12" t="n">
        <v>0</v>
      </c>
      <c r="K1429" s="11" t="n">
        <v>3620.8</v>
      </c>
      <c r="L1429" s="11" t="n">
        <v>1484.32</v>
      </c>
      <c r="M1429" s="12" t="n">
        <v>0.4099</v>
      </c>
    </row>
    <row r="1430">
      <c r="A1430" t="inlineStr">
        <is>
          <t>ORD-10283</t>
        </is>
      </c>
      <c r="B1430" s="10" t="inlineStr">
        <is>
          <t>2025-05-22</t>
        </is>
      </c>
      <c r="C1430" t="inlineStr">
        <is>
          <t>Customer 26</t>
        </is>
      </c>
      <c r="D1430" t="inlineStr">
        <is>
          <t>East</t>
        </is>
      </c>
      <c r="E1430" t="inlineStr">
        <is>
          <t>Office Supplies</t>
        </is>
      </c>
      <c r="F1430" t="inlineStr">
        <is>
          <t>Paper</t>
        </is>
      </c>
      <c r="G1430" t="inlineStr">
        <is>
          <t>Standard Class</t>
        </is>
      </c>
      <c r="H1430" t="n">
        <v>8</v>
      </c>
      <c r="I1430" s="11" t="n">
        <v>127.84</v>
      </c>
      <c r="J1430" s="12" t="n">
        <v>0</v>
      </c>
      <c r="K1430" s="11" t="n">
        <v>1022.72</v>
      </c>
      <c r="L1430" s="11" t="n">
        <v>295.37</v>
      </c>
      <c r="M1430" s="12" t="n">
        <v>0.2888</v>
      </c>
    </row>
    <row r="1431">
      <c r="A1431" t="inlineStr">
        <is>
          <t>ORD-11464</t>
        </is>
      </c>
      <c r="B1431" s="10" t="inlineStr">
        <is>
          <t>2025-05-22</t>
        </is>
      </c>
      <c r="C1431" t="inlineStr">
        <is>
          <t>Customer 147</t>
        </is>
      </c>
      <c r="D1431" t="inlineStr">
        <is>
          <t>North</t>
        </is>
      </c>
      <c r="E1431" t="inlineStr">
        <is>
          <t>Technology</t>
        </is>
      </c>
      <c r="F1431" t="inlineStr">
        <is>
          <t>Wireless Mouse</t>
        </is>
      </c>
      <c r="G1431" t="inlineStr">
        <is>
          <t>Second Class</t>
        </is>
      </c>
      <c r="H1431" t="n">
        <v>3</v>
      </c>
      <c r="I1431" s="11" t="n">
        <v>761.55</v>
      </c>
      <c r="J1431" s="12" t="n">
        <v>0</v>
      </c>
      <c r="K1431" s="11" t="n">
        <v>2284.65</v>
      </c>
      <c r="L1431" s="11" t="n">
        <v>1100.94</v>
      </c>
      <c r="M1431" s="12" t="n">
        <v>0.4819</v>
      </c>
    </row>
    <row r="1432">
      <c r="A1432" t="inlineStr">
        <is>
          <t>ORD-11052</t>
        </is>
      </c>
      <c r="B1432" s="10" t="inlineStr">
        <is>
          <t>2025-05-23</t>
        </is>
      </c>
      <c r="C1432" t="inlineStr">
        <is>
          <t>Customer 185</t>
        </is>
      </c>
      <c r="D1432" t="inlineStr">
        <is>
          <t>South</t>
        </is>
      </c>
      <c r="E1432" t="inlineStr">
        <is>
          <t>Office Supplies</t>
        </is>
      </c>
      <c r="F1432" t="inlineStr">
        <is>
          <t>Stapler</t>
        </is>
      </c>
      <c r="G1432" t="inlineStr">
        <is>
          <t>First Class</t>
        </is>
      </c>
      <c r="H1432" t="n">
        <v>3</v>
      </c>
      <c r="I1432" s="11" t="n">
        <v>774.53</v>
      </c>
      <c r="J1432" s="12" t="n">
        <v>0.1</v>
      </c>
      <c r="K1432" s="11" t="n">
        <v>2091.23</v>
      </c>
      <c r="L1432" s="11" t="n">
        <v>192.99</v>
      </c>
      <c r="M1432" s="12" t="n">
        <v>0.09229999999999999</v>
      </c>
    </row>
    <row r="1433">
      <c r="A1433" t="inlineStr">
        <is>
          <t>ORD-10345</t>
        </is>
      </c>
      <c r="B1433" s="10" t="inlineStr">
        <is>
          <t>2025-05-24</t>
        </is>
      </c>
      <c r="C1433" t="inlineStr">
        <is>
          <t>Customer 133</t>
        </is>
      </c>
      <c r="D1433" t="inlineStr">
        <is>
          <t>North</t>
        </is>
      </c>
      <c r="E1433" t="inlineStr">
        <is>
          <t>Office Supplies</t>
        </is>
      </c>
      <c r="F1433" t="inlineStr">
        <is>
          <t>Pens (Box)</t>
        </is>
      </c>
      <c r="G1433" t="inlineStr">
        <is>
          <t>First Class</t>
        </is>
      </c>
      <c r="H1433" t="n">
        <v>5</v>
      </c>
      <c r="I1433" s="11" t="n">
        <v>683.46</v>
      </c>
      <c r="J1433" s="12" t="n">
        <v>0</v>
      </c>
      <c r="K1433" s="11" t="n">
        <v>3417.3</v>
      </c>
      <c r="L1433" s="11" t="n">
        <v>1504.94</v>
      </c>
      <c r="M1433" s="12" t="n">
        <v>0.4404</v>
      </c>
    </row>
    <row r="1434">
      <c r="A1434" t="inlineStr">
        <is>
          <t>ORD-10436</t>
        </is>
      </c>
      <c r="B1434" s="10" t="inlineStr">
        <is>
          <t>2025-05-24</t>
        </is>
      </c>
      <c r="C1434" t="inlineStr">
        <is>
          <t>Customer 184</t>
        </is>
      </c>
      <c r="D1434" t="inlineStr">
        <is>
          <t>East</t>
        </is>
      </c>
      <c r="E1434" t="inlineStr">
        <is>
          <t>Technology</t>
        </is>
      </c>
      <c r="F1434" t="inlineStr">
        <is>
          <t>Monitor</t>
        </is>
      </c>
      <c r="G1434" t="inlineStr">
        <is>
          <t>Same Day</t>
        </is>
      </c>
      <c r="H1434" t="n">
        <v>4</v>
      </c>
      <c r="I1434" s="11" t="n">
        <v>715.1799999999999</v>
      </c>
      <c r="J1434" s="12" t="n">
        <v>0</v>
      </c>
      <c r="K1434" s="11" t="n">
        <v>2860.72</v>
      </c>
      <c r="L1434" s="11" t="n">
        <v>866.52</v>
      </c>
      <c r="M1434" s="12" t="n">
        <v>0.3029</v>
      </c>
    </row>
    <row r="1435">
      <c r="A1435" t="inlineStr">
        <is>
          <t>ORD-11752</t>
        </is>
      </c>
      <c r="B1435" s="10" t="inlineStr">
        <is>
          <t>2025-05-25</t>
        </is>
      </c>
      <c r="C1435" t="inlineStr">
        <is>
          <t>Customer 188</t>
        </is>
      </c>
      <c r="D1435" t="inlineStr">
        <is>
          <t>South</t>
        </is>
      </c>
      <c r="E1435" t="inlineStr">
        <is>
          <t>Technology</t>
        </is>
      </c>
      <c r="F1435" t="inlineStr">
        <is>
          <t>Laptop</t>
        </is>
      </c>
      <c r="G1435" t="inlineStr">
        <is>
          <t>Same Day</t>
        </is>
      </c>
      <c r="H1435" t="n">
        <v>11</v>
      </c>
      <c r="I1435" s="11" t="n">
        <v>339.63</v>
      </c>
      <c r="J1435" s="12" t="n">
        <v>0</v>
      </c>
      <c r="K1435" s="11" t="n">
        <v>3735.93</v>
      </c>
      <c r="L1435" s="11" t="n">
        <v>619.59</v>
      </c>
      <c r="M1435" s="12" t="n">
        <v>0.1658</v>
      </c>
    </row>
    <row r="1436">
      <c r="A1436" t="inlineStr">
        <is>
          <t>ORD-10085</t>
        </is>
      </c>
      <c r="B1436" s="10" t="inlineStr">
        <is>
          <t>2025-05-25</t>
        </is>
      </c>
      <c r="C1436" t="inlineStr">
        <is>
          <t>Customer 133</t>
        </is>
      </c>
      <c r="D1436" t="inlineStr">
        <is>
          <t>North</t>
        </is>
      </c>
      <c r="E1436" t="inlineStr">
        <is>
          <t>Furniture</t>
        </is>
      </c>
      <c r="F1436" t="inlineStr">
        <is>
          <t>Table Lamp</t>
        </is>
      </c>
      <c r="G1436" t="inlineStr">
        <is>
          <t>First Class</t>
        </is>
      </c>
      <c r="H1436" t="n">
        <v>6</v>
      </c>
      <c r="I1436" s="11" t="n">
        <v>814.36</v>
      </c>
      <c r="J1436" s="12" t="n">
        <v>0</v>
      </c>
      <c r="K1436" s="11" t="n">
        <v>4886.16</v>
      </c>
      <c r="L1436" s="11" t="n">
        <v>1756.7</v>
      </c>
      <c r="M1436" s="12" t="n">
        <v>0.3595</v>
      </c>
    </row>
    <row r="1437">
      <c r="A1437" t="inlineStr">
        <is>
          <t>ORD-11051</t>
        </is>
      </c>
      <c r="B1437" s="10" t="inlineStr">
        <is>
          <t>2025-05-26</t>
        </is>
      </c>
      <c r="C1437" t="inlineStr">
        <is>
          <t>Customer 60</t>
        </is>
      </c>
      <c r="D1437" t="inlineStr">
        <is>
          <t>East</t>
        </is>
      </c>
      <c r="E1437" t="inlineStr">
        <is>
          <t>Furniture</t>
        </is>
      </c>
      <c r="F1437" t="inlineStr">
        <is>
          <t>Desk</t>
        </is>
      </c>
      <c r="G1437" t="inlineStr">
        <is>
          <t>Second Class</t>
        </is>
      </c>
      <c r="H1437" t="n">
        <v>3</v>
      </c>
      <c r="I1437" s="11" t="n">
        <v>1095</v>
      </c>
      <c r="J1437" s="12" t="n">
        <v>0</v>
      </c>
      <c r="K1437" s="11" t="n">
        <v>3285</v>
      </c>
      <c r="L1437" s="11" t="n">
        <v>521.77</v>
      </c>
      <c r="M1437" s="12" t="n">
        <v>0.1588</v>
      </c>
    </row>
    <row r="1438">
      <c r="A1438" t="inlineStr">
        <is>
          <t>ORD-11929</t>
        </is>
      </c>
      <c r="B1438" s="10" t="inlineStr">
        <is>
          <t>2025-05-26</t>
        </is>
      </c>
      <c r="C1438" t="inlineStr">
        <is>
          <t>Customer 134</t>
        </is>
      </c>
      <c r="D1438" t="inlineStr">
        <is>
          <t>East</t>
        </is>
      </c>
      <c r="E1438" t="inlineStr">
        <is>
          <t>Office Supplies</t>
        </is>
      </c>
      <c r="F1438" t="inlineStr">
        <is>
          <t>Pens (Box)</t>
        </is>
      </c>
      <c r="G1438" t="inlineStr">
        <is>
          <t>First Class</t>
        </is>
      </c>
      <c r="H1438" t="n">
        <v>5</v>
      </c>
      <c r="I1438" s="11" t="n">
        <v>121.3</v>
      </c>
      <c r="J1438" s="12" t="n">
        <v>0.1</v>
      </c>
      <c r="K1438" s="11" t="n">
        <v>545.85</v>
      </c>
      <c r="L1438" s="11" t="n">
        <v>240.58</v>
      </c>
      <c r="M1438" s="12" t="n">
        <v>0.4407</v>
      </c>
    </row>
    <row r="1439">
      <c r="A1439" t="inlineStr">
        <is>
          <t>ORD-10683</t>
        </is>
      </c>
      <c r="B1439" s="10" t="inlineStr">
        <is>
          <t>2025-05-27</t>
        </is>
      </c>
      <c r="C1439" t="inlineStr">
        <is>
          <t>Customer 102</t>
        </is>
      </c>
      <c r="D1439" t="inlineStr">
        <is>
          <t>North</t>
        </is>
      </c>
      <c r="E1439" t="inlineStr">
        <is>
          <t>Technology</t>
        </is>
      </c>
      <c r="F1439" t="inlineStr">
        <is>
          <t>Printer</t>
        </is>
      </c>
      <c r="G1439" t="inlineStr">
        <is>
          <t>Standard Class</t>
        </is>
      </c>
      <c r="H1439" t="n">
        <v>6</v>
      </c>
      <c r="I1439" s="11" t="n">
        <v>112.62</v>
      </c>
      <c r="J1439" s="12" t="n">
        <v>0.1</v>
      </c>
      <c r="K1439" s="11" t="n">
        <v>608.15</v>
      </c>
      <c r="L1439" s="11" t="n">
        <v>65.55</v>
      </c>
      <c r="M1439" s="12" t="n">
        <v>0.1078</v>
      </c>
    </row>
    <row r="1440">
      <c r="A1440" t="inlineStr">
        <is>
          <t>ORD-11738</t>
        </is>
      </c>
      <c r="B1440" s="10" t="inlineStr">
        <is>
          <t>2025-05-27</t>
        </is>
      </c>
      <c r="C1440" t="inlineStr">
        <is>
          <t>Customer 97</t>
        </is>
      </c>
      <c r="D1440" t="inlineStr">
        <is>
          <t>North</t>
        </is>
      </c>
      <c r="E1440" t="inlineStr">
        <is>
          <t>Technology</t>
        </is>
      </c>
      <c r="F1440" t="inlineStr">
        <is>
          <t>Monitor</t>
        </is>
      </c>
      <c r="G1440" t="inlineStr">
        <is>
          <t>Same Day</t>
        </is>
      </c>
      <c r="H1440" t="n">
        <v>9</v>
      </c>
      <c r="I1440" s="11" t="n">
        <v>516.39</v>
      </c>
      <c r="J1440" s="12" t="n">
        <v>0.15</v>
      </c>
      <c r="K1440" s="11" t="n">
        <v>3950.38</v>
      </c>
      <c r="L1440" s="11" t="n">
        <v>520.87</v>
      </c>
      <c r="M1440" s="12" t="n">
        <v>0.1319</v>
      </c>
    </row>
    <row r="1441">
      <c r="A1441" t="inlineStr">
        <is>
          <t>ORD-11079</t>
        </is>
      </c>
      <c r="B1441" s="10" t="inlineStr">
        <is>
          <t>2025-05-28</t>
        </is>
      </c>
      <c r="C1441" t="inlineStr">
        <is>
          <t>Customer 52</t>
        </is>
      </c>
      <c r="D1441" t="inlineStr">
        <is>
          <t>North</t>
        </is>
      </c>
      <c r="E1441" t="inlineStr">
        <is>
          <t>Technology</t>
        </is>
      </c>
      <c r="F1441" t="inlineStr">
        <is>
          <t>Laptop</t>
        </is>
      </c>
      <c r="G1441" t="inlineStr">
        <is>
          <t>Standard Class</t>
        </is>
      </c>
      <c r="H1441" t="n">
        <v>4</v>
      </c>
      <c r="I1441" s="11" t="n">
        <v>181.06</v>
      </c>
      <c r="J1441" s="12" t="n">
        <v>0.3</v>
      </c>
      <c r="K1441" s="11" t="n">
        <v>506.97</v>
      </c>
      <c r="L1441" s="11" t="n">
        <v>-3.28</v>
      </c>
      <c r="M1441" s="12" t="n">
        <v>-0.0065</v>
      </c>
    </row>
    <row r="1442">
      <c r="A1442" t="inlineStr">
        <is>
          <t>ORD-11221</t>
        </is>
      </c>
      <c r="B1442" s="10" t="inlineStr">
        <is>
          <t>2025-05-28</t>
        </is>
      </c>
      <c r="C1442" t="inlineStr">
        <is>
          <t>Customer 71</t>
        </is>
      </c>
      <c r="D1442" t="inlineStr">
        <is>
          <t>West</t>
        </is>
      </c>
      <c r="E1442" t="inlineStr">
        <is>
          <t>Technology</t>
        </is>
      </c>
      <c r="F1442" t="inlineStr">
        <is>
          <t>Printer</t>
        </is>
      </c>
      <c r="G1442" t="inlineStr">
        <is>
          <t>Same Day</t>
        </is>
      </c>
      <c r="H1442" t="n">
        <v>5</v>
      </c>
      <c r="I1442" s="11" t="n">
        <v>679.73</v>
      </c>
      <c r="J1442" s="12" t="n">
        <v>0</v>
      </c>
      <c r="K1442" s="11" t="n">
        <v>3398.65</v>
      </c>
      <c r="L1442" s="11" t="n">
        <v>1698.03</v>
      </c>
      <c r="M1442" s="12" t="n">
        <v>0.4996</v>
      </c>
    </row>
    <row r="1443">
      <c r="A1443" t="inlineStr">
        <is>
          <t>ORD-11455</t>
        </is>
      </c>
      <c r="B1443" s="10" t="inlineStr">
        <is>
          <t>2025-05-30</t>
        </is>
      </c>
      <c r="C1443" t="inlineStr">
        <is>
          <t>Customer 84</t>
        </is>
      </c>
      <c r="D1443" t="inlineStr">
        <is>
          <t>West</t>
        </is>
      </c>
      <c r="E1443" t="inlineStr">
        <is>
          <t>Furniture</t>
        </is>
      </c>
      <c r="F1443" t="inlineStr">
        <is>
          <t>Chair</t>
        </is>
      </c>
      <c r="G1443" t="inlineStr">
        <is>
          <t>Second Class</t>
        </is>
      </c>
      <c r="H1443" t="n">
        <v>7</v>
      </c>
      <c r="I1443" s="11" t="n">
        <v>128.19</v>
      </c>
      <c r="J1443" s="12" t="n">
        <v>0</v>
      </c>
      <c r="K1443" s="11" t="n">
        <v>897.33</v>
      </c>
      <c r="L1443" s="11" t="n">
        <v>442.21</v>
      </c>
      <c r="M1443" s="12" t="n">
        <v>0.4928</v>
      </c>
    </row>
    <row r="1444">
      <c r="A1444" t="inlineStr">
        <is>
          <t>ORD-10855</t>
        </is>
      </c>
      <c r="B1444" s="10" t="inlineStr">
        <is>
          <t>2025-05-30</t>
        </is>
      </c>
      <c r="C1444" t="inlineStr">
        <is>
          <t>Customer 114</t>
        </is>
      </c>
      <c r="D1444" t="inlineStr">
        <is>
          <t>South</t>
        </is>
      </c>
      <c r="E1444" t="inlineStr">
        <is>
          <t>Technology</t>
        </is>
      </c>
      <c r="F1444" t="inlineStr">
        <is>
          <t>Printer</t>
        </is>
      </c>
      <c r="G1444" t="inlineStr">
        <is>
          <t>Same Day</t>
        </is>
      </c>
      <c r="H1444" t="n">
        <v>7</v>
      </c>
      <c r="I1444" s="11" t="n">
        <v>435.66</v>
      </c>
      <c r="J1444" s="12" t="n">
        <v>0</v>
      </c>
      <c r="K1444" s="11" t="n">
        <v>3049.62</v>
      </c>
      <c r="L1444" s="11" t="n">
        <v>1308.22</v>
      </c>
      <c r="M1444" s="12" t="n">
        <v>0.429</v>
      </c>
    </row>
    <row r="1445">
      <c r="A1445" t="inlineStr">
        <is>
          <t>ORD-11654</t>
        </is>
      </c>
      <c r="B1445" s="10" t="inlineStr">
        <is>
          <t>2025-05-30</t>
        </is>
      </c>
      <c r="C1445" t="inlineStr">
        <is>
          <t>Customer 100</t>
        </is>
      </c>
      <c r="D1445" t="inlineStr">
        <is>
          <t>North</t>
        </is>
      </c>
      <c r="E1445" t="inlineStr">
        <is>
          <t>Technology</t>
        </is>
      </c>
      <c r="F1445" t="inlineStr">
        <is>
          <t>Wireless Mouse</t>
        </is>
      </c>
      <c r="G1445" t="inlineStr">
        <is>
          <t>Second Class</t>
        </is>
      </c>
      <c r="H1445" t="n">
        <v>8</v>
      </c>
      <c r="I1445" s="11" t="n">
        <v>70.39</v>
      </c>
      <c r="J1445" s="12" t="n">
        <v>0.1</v>
      </c>
      <c r="K1445" s="11" t="n">
        <v>506.81</v>
      </c>
      <c r="L1445" s="11" t="n">
        <v>125.44</v>
      </c>
      <c r="M1445" s="12" t="n">
        <v>0.2475</v>
      </c>
    </row>
    <row r="1446">
      <c r="A1446" t="inlineStr">
        <is>
          <t>ORD-10641</t>
        </is>
      </c>
      <c r="B1446" s="10" t="inlineStr">
        <is>
          <t>2025-05-30</t>
        </is>
      </c>
      <c r="C1446" t="inlineStr">
        <is>
          <t>Customer 26</t>
        </is>
      </c>
      <c r="D1446" t="inlineStr">
        <is>
          <t>East</t>
        </is>
      </c>
      <c r="E1446" t="inlineStr">
        <is>
          <t>Office Supplies</t>
        </is>
      </c>
      <c r="F1446" t="inlineStr">
        <is>
          <t>Stapler</t>
        </is>
      </c>
      <c r="G1446" t="inlineStr">
        <is>
          <t>Second Class</t>
        </is>
      </c>
      <c r="H1446" t="n">
        <v>10</v>
      </c>
      <c r="I1446" s="11" t="n">
        <v>343.35</v>
      </c>
      <c r="J1446" s="12" t="n">
        <v>0.15</v>
      </c>
      <c r="K1446" s="11" t="n">
        <v>2918.47</v>
      </c>
      <c r="L1446" s="11" t="n">
        <v>377.5</v>
      </c>
      <c r="M1446" s="12" t="n">
        <v>0.1293</v>
      </c>
    </row>
    <row r="1447">
      <c r="A1447" t="inlineStr">
        <is>
          <t>ORD-11438</t>
        </is>
      </c>
      <c r="B1447" s="10" t="inlineStr">
        <is>
          <t>2025-05-30</t>
        </is>
      </c>
      <c r="C1447" t="inlineStr">
        <is>
          <t>Customer 82</t>
        </is>
      </c>
      <c r="D1447" t="inlineStr">
        <is>
          <t>South</t>
        </is>
      </c>
      <c r="E1447" t="inlineStr">
        <is>
          <t>Furniture</t>
        </is>
      </c>
      <c r="F1447" t="inlineStr">
        <is>
          <t>Table Lamp</t>
        </is>
      </c>
      <c r="G1447" t="inlineStr">
        <is>
          <t>First Class</t>
        </is>
      </c>
      <c r="H1447" t="n">
        <v>6</v>
      </c>
      <c r="I1447" s="11" t="n">
        <v>362.07</v>
      </c>
      <c r="J1447" s="12" t="n">
        <v>0.1</v>
      </c>
      <c r="K1447" s="11" t="n">
        <v>1955.18</v>
      </c>
      <c r="L1447" s="11" t="n">
        <v>654.09</v>
      </c>
      <c r="M1447" s="12" t="n">
        <v>0.3345</v>
      </c>
    </row>
    <row r="1448">
      <c r="A1448" t="inlineStr">
        <is>
          <t>ORD-10193</t>
        </is>
      </c>
      <c r="B1448" s="10" t="inlineStr">
        <is>
          <t>2025-05-30</t>
        </is>
      </c>
      <c r="C1448" t="inlineStr">
        <is>
          <t>Customer 45</t>
        </is>
      </c>
      <c r="D1448" t="inlineStr">
        <is>
          <t>North</t>
        </is>
      </c>
      <c r="E1448" t="inlineStr">
        <is>
          <t>Technology</t>
        </is>
      </c>
      <c r="F1448" t="inlineStr">
        <is>
          <t>Laptop</t>
        </is>
      </c>
      <c r="G1448" t="inlineStr">
        <is>
          <t>First Class</t>
        </is>
      </c>
      <c r="H1448" t="n">
        <v>2</v>
      </c>
      <c r="I1448" s="11" t="n">
        <v>954.73</v>
      </c>
      <c r="J1448" s="12" t="n">
        <v>0</v>
      </c>
      <c r="K1448" s="11" t="n">
        <v>1623.04</v>
      </c>
      <c r="L1448" s="11" t="n">
        <v>478.24</v>
      </c>
      <c r="M1448" s="12" t="n">
        <v>0.2947</v>
      </c>
    </row>
    <row r="1449">
      <c r="A1449" t="inlineStr">
        <is>
          <t>ORD-11438</t>
        </is>
      </c>
      <c r="B1449" s="10" t="inlineStr">
        <is>
          <t>2025-05-30</t>
        </is>
      </c>
      <c r="C1449" t="inlineStr">
        <is>
          <t>Customer 82</t>
        </is>
      </c>
      <c r="D1449" t="inlineStr">
        <is>
          <t>South</t>
        </is>
      </c>
      <c r="E1449" t="inlineStr">
        <is>
          <t>Furniture</t>
        </is>
      </c>
      <c r="F1449" t="inlineStr">
        <is>
          <t>Table Lamp</t>
        </is>
      </c>
      <c r="G1449" t="inlineStr">
        <is>
          <t>First Class</t>
        </is>
      </c>
      <c r="H1449" t="n">
        <v>6</v>
      </c>
      <c r="I1449" s="11" t="n">
        <v>362.07</v>
      </c>
      <c r="J1449" s="12" t="n">
        <v>0.1</v>
      </c>
      <c r="K1449" s="11" t="n">
        <v>1955.18</v>
      </c>
      <c r="L1449" s="11" t="n">
        <v>654.09</v>
      </c>
      <c r="M1449" s="12" t="n">
        <v>0.3345</v>
      </c>
    </row>
    <row r="1450">
      <c r="A1450" t="inlineStr">
        <is>
          <t>ORD-10405</t>
        </is>
      </c>
      <c r="B1450" s="10" t="inlineStr">
        <is>
          <t>2025-05-31</t>
        </is>
      </c>
      <c r="C1450" t="inlineStr">
        <is>
          <t>Customer 150</t>
        </is>
      </c>
      <c r="D1450" t="inlineStr">
        <is>
          <t>North</t>
        </is>
      </c>
      <c r="E1450" t="inlineStr">
        <is>
          <t>Office Supplies</t>
        </is>
      </c>
      <c r="F1450" t="inlineStr">
        <is>
          <t>Binder</t>
        </is>
      </c>
      <c r="G1450" t="inlineStr">
        <is>
          <t>Standard Class</t>
        </is>
      </c>
      <c r="H1450" t="n">
        <v>2</v>
      </c>
      <c r="I1450" s="11" t="n">
        <v>475.18</v>
      </c>
      <c r="J1450" s="12" t="n">
        <v>0.15</v>
      </c>
      <c r="K1450" s="11" t="n">
        <v>807.8099999999999</v>
      </c>
      <c r="L1450" s="11" t="n">
        <v>331.73</v>
      </c>
      <c r="M1450" s="12" t="n">
        <v>0.4107</v>
      </c>
    </row>
    <row r="1451">
      <c r="A1451" t="inlineStr">
        <is>
          <t>ORD-10874</t>
        </is>
      </c>
      <c r="B1451" s="10" t="inlineStr">
        <is>
          <t>2025-05-31</t>
        </is>
      </c>
      <c r="C1451" t="inlineStr">
        <is>
          <t>Customer 194</t>
        </is>
      </c>
      <c r="D1451" t="inlineStr">
        <is>
          <t>South</t>
        </is>
      </c>
      <c r="E1451" t="inlineStr">
        <is>
          <t>Technology</t>
        </is>
      </c>
      <c r="F1451" t="inlineStr">
        <is>
          <t>Laptop</t>
        </is>
      </c>
      <c r="G1451" t="inlineStr">
        <is>
          <t>Same Day</t>
        </is>
      </c>
      <c r="H1451" t="n">
        <v>8</v>
      </c>
      <c r="I1451" s="11" t="n">
        <v>661.03</v>
      </c>
      <c r="J1451" s="12" t="n">
        <v>0.1</v>
      </c>
      <c r="K1451" s="11" t="n">
        <v>4759.42</v>
      </c>
      <c r="L1451" s="11" t="n">
        <v>1953.12</v>
      </c>
      <c r="M1451" s="12" t="n">
        <v>0.4104</v>
      </c>
    </row>
    <row r="1452">
      <c r="A1452" t="inlineStr">
        <is>
          <t>ORD-11704</t>
        </is>
      </c>
      <c r="B1452" s="10" t="inlineStr">
        <is>
          <t>2025-06-01</t>
        </is>
      </c>
      <c r="C1452" t="inlineStr">
        <is>
          <t>Customer 155</t>
        </is>
      </c>
      <c r="D1452" t="inlineStr">
        <is>
          <t>South</t>
        </is>
      </c>
      <c r="E1452" t="inlineStr">
        <is>
          <t>Technology</t>
        </is>
      </c>
      <c r="F1452" t="inlineStr">
        <is>
          <t>Laptop</t>
        </is>
      </c>
      <c r="G1452" t="inlineStr">
        <is>
          <t>First Class</t>
        </is>
      </c>
      <c r="H1452" t="n">
        <v>4</v>
      </c>
      <c r="I1452" s="11" t="n">
        <v>966.48</v>
      </c>
      <c r="J1452" s="12" t="n">
        <v>0.3</v>
      </c>
      <c r="K1452" s="11" t="n">
        <v>2706.14</v>
      </c>
      <c r="L1452" s="11" t="n">
        <v>-12.24</v>
      </c>
      <c r="M1452" s="12" t="n">
        <v>-0.0045</v>
      </c>
    </row>
    <row r="1453">
      <c r="A1453" t="inlineStr">
        <is>
          <t>ORD-10622</t>
        </is>
      </c>
      <c r="B1453" s="10" t="inlineStr">
        <is>
          <t>2025-06-01</t>
        </is>
      </c>
      <c r="C1453" t="inlineStr">
        <is>
          <t>Customer 81</t>
        </is>
      </c>
      <c r="D1453" t="inlineStr">
        <is>
          <t>West</t>
        </is>
      </c>
      <c r="E1453" t="inlineStr">
        <is>
          <t>Furniture</t>
        </is>
      </c>
      <c r="F1453" t="inlineStr">
        <is>
          <t>Table Lamp</t>
        </is>
      </c>
      <c r="G1453" t="inlineStr">
        <is>
          <t>Standard Class</t>
        </is>
      </c>
      <c r="H1453" t="n">
        <v>9</v>
      </c>
      <c r="I1453" s="11" t="n">
        <v>955.87</v>
      </c>
      <c r="J1453" s="12" t="n">
        <v>0</v>
      </c>
      <c r="K1453" s="11" t="n">
        <v>8602.83</v>
      </c>
      <c r="L1453" s="11" t="n">
        <v>2708.68</v>
      </c>
      <c r="M1453" s="12" t="n">
        <v>0.3149</v>
      </c>
    </row>
    <row r="1454">
      <c r="A1454" t="inlineStr">
        <is>
          <t>ORD-10956</t>
        </is>
      </c>
      <c r="B1454" s="10" t="inlineStr">
        <is>
          <t>2025-06-01</t>
        </is>
      </c>
      <c r="C1454" t="inlineStr">
        <is>
          <t>Customer 37</t>
        </is>
      </c>
      <c r="D1454" t="inlineStr">
        <is>
          <t>West</t>
        </is>
      </c>
      <c r="E1454" t="inlineStr">
        <is>
          <t>Furniture</t>
        </is>
      </c>
      <c r="F1454" t="inlineStr">
        <is>
          <t>Desk</t>
        </is>
      </c>
      <c r="G1454" t="inlineStr">
        <is>
          <t>Standard Class</t>
        </is>
      </c>
      <c r="H1454" t="n">
        <v>1</v>
      </c>
      <c r="I1454" s="11" t="n">
        <v>192.34</v>
      </c>
      <c r="J1454" s="12" t="n">
        <v>0.15</v>
      </c>
      <c r="K1454" s="11" t="n">
        <v>163.49</v>
      </c>
      <c r="L1454" s="11" t="n">
        <v>3.23</v>
      </c>
      <c r="M1454" s="12" t="n">
        <v>0.0198</v>
      </c>
    </row>
    <row r="1455">
      <c r="A1455" t="inlineStr">
        <is>
          <t>ORD-11498</t>
        </is>
      </c>
      <c r="B1455" s="10" t="inlineStr">
        <is>
          <t>2025-06-02</t>
        </is>
      </c>
      <c r="C1455" t="inlineStr">
        <is>
          <t>Customer 9</t>
        </is>
      </c>
      <c r="D1455" t="inlineStr">
        <is>
          <t>North</t>
        </is>
      </c>
      <c r="E1455" t="inlineStr">
        <is>
          <t>Furniture</t>
        </is>
      </c>
      <c r="F1455" t="inlineStr">
        <is>
          <t>Chair</t>
        </is>
      </c>
      <c r="G1455" t="inlineStr">
        <is>
          <t>Standard Class</t>
        </is>
      </c>
      <c r="H1455" t="n">
        <v>8</v>
      </c>
      <c r="I1455" s="11" t="n">
        <v>854.37</v>
      </c>
      <c r="J1455" s="12" t="n">
        <v>0.15</v>
      </c>
      <c r="K1455" s="11" t="n">
        <v>5809.72</v>
      </c>
      <c r="L1455" s="11" t="n">
        <v>2371.47</v>
      </c>
      <c r="M1455" s="12" t="n">
        <v>0.4082</v>
      </c>
    </row>
    <row r="1456">
      <c r="A1456" t="inlineStr">
        <is>
          <t>ORD-11583</t>
        </is>
      </c>
      <c r="B1456" s="10" t="inlineStr">
        <is>
          <t>2025-06-03</t>
        </is>
      </c>
      <c r="C1456" t="inlineStr">
        <is>
          <t>Customer 99</t>
        </is>
      </c>
      <c r="D1456" t="inlineStr">
        <is>
          <t>East</t>
        </is>
      </c>
      <c r="E1456" t="inlineStr">
        <is>
          <t>Office Supplies</t>
        </is>
      </c>
      <c r="F1456" t="inlineStr">
        <is>
          <t>Binder</t>
        </is>
      </c>
      <c r="G1456" t="inlineStr">
        <is>
          <t>Same Day</t>
        </is>
      </c>
      <c r="H1456" t="n">
        <v>9</v>
      </c>
      <c r="I1456" s="11" t="n">
        <v>373.33</v>
      </c>
      <c r="J1456" s="12" t="n">
        <v>0</v>
      </c>
      <c r="K1456" s="11" t="n">
        <v>3359.97</v>
      </c>
      <c r="L1456" s="11" t="n">
        <v>972.64</v>
      </c>
      <c r="M1456" s="12" t="n">
        <v>0.2895</v>
      </c>
    </row>
    <row r="1457">
      <c r="A1457" t="inlineStr">
        <is>
          <t>ORD-11524</t>
        </is>
      </c>
      <c r="B1457" s="10" t="inlineStr">
        <is>
          <t>2025-06-03</t>
        </is>
      </c>
      <c r="C1457" t="inlineStr">
        <is>
          <t>Customer 168</t>
        </is>
      </c>
      <c r="D1457" t="inlineStr">
        <is>
          <t>North</t>
        </is>
      </c>
      <c r="E1457" t="inlineStr">
        <is>
          <t>Furniture</t>
        </is>
      </c>
      <c r="F1457" t="inlineStr">
        <is>
          <t>Bookcase</t>
        </is>
      </c>
      <c r="G1457" t="inlineStr">
        <is>
          <t>Standard Class</t>
        </is>
      </c>
      <c r="H1457" t="n">
        <v>3</v>
      </c>
      <c r="I1457" s="11" t="n">
        <v>247.22</v>
      </c>
      <c r="J1457" s="12" t="n">
        <v>0</v>
      </c>
      <c r="K1457" s="11" t="n">
        <v>741.66</v>
      </c>
      <c r="L1457" s="11" t="n">
        <v>291.97</v>
      </c>
      <c r="M1457" s="12" t="n">
        <v>0.3937</v>
      </c>
    </row>
    <row r="1458">
      <c r="A1458" t="inlineStr">
        <is>
          <t>ORD-11102</t>
        </is>
      </c>
      <c r="B1458" s="10" t="inlineStr">
        <is>
          <t>2025-06-03</t>
        </is>
      </c>
      <c r="C1458" t="inlineStr">
        <is>
          <t>Customer 164</t>
        </is>
      </c>
      <c r="D1458" t="inlineStr">
        <is>
          <t>South</t>
        </is>
      </c>
      <c r="E1458" t="inlineStr">
        <is>
          <t>Technology</t>
        </is>
      </c>
      <c r="F1458" t="inlineStr">
        <is>
          <t>Wireless Mouse</t>
        </is>
      </c>
      <c r="G1458" t="inlineStr">
        <is>
          <t>First Class</t>
        </is>
      </c>
      <c r="H1458" t="n">
        <v>10</v>
      </c>
      <c r="I1458" s="11" t="n">
        <v>65.89</v>
      </c>
      <c r="J1458" s="12" t="n">
        <v>0.15</v>
      </c>
      <c r="K1458" s="11" t="n">
        <v>560.0599999999999</v>
      </c>
      <c r="L1458" s="11" t="n">
        <v>39.97</v>
      </c>
      <c r="M1458" s="12" t="n">
        <v>0.07140000000000001</v>
      </c>
    </row>
    <row r="1459">
      <c r="A1459" t="inlineStr">
        <is>
          <t>ORD-10635</t>
        </is>
      </c>
      <c r="B1459" s="10" t="inlineStr">
        <is>
          <t>2025-06-04</t>
        </is>
      </c>
      <c r="C1459" t="inlineStr">
        <is>
          <t>Customer 65</t>
        </is>
      </c>
      <c r="D1459" t="inlineStr">
        <is>
          <t>South</t>
        </is>
      </c>
      <c r="E1459" t="inlineStr">
        <is>
          <t>Furniture</t>
        </is>
      </c>
      <c r="F1459" t="inlineStr">
        <is>
          <t>Bookcase</t>
        </is>
      </c>
      <c r="G1459" t="inlineStr">
        <is>
          <t>Same Day</t>
        </is>
      </c>
      <c r="H1459" t="n">
        <v>4</v>
      </c>
      <c r="I1459" s="11" t="n">
        <v>187.61</v>
      </c>
      <c r="J1459" s="12" t="n">
        <v>0</v>
      </c>
      <c r="K1459" s="11" t="n">
        <v>750.4400000000001</v>
      </c>
      <c r="L1459" s="11" t="n">
        <v>145.99</v>
      </c>
      <c r="M1459" s="12" t="n">
        <v>0.1945</v>
      </c>
    </row>
    <row r="1460">
      <c r="A1460" t="inlineStr">
        <is>
          <t>ORD-10391</t>
        </is>
      </c>
      <c r="B1460" s="10" t="inlineStr">
        <is>
          <t>2025-06-04</t>
        </is>
      </c>
      <c r="C1460" t="inlineStr">
        <is>
          <t>Customer 45</t>
        </is>
      </c>
      <c r="D1460" t="inlineStr">
        <is>
          <t>North</t>
        </is>
      </c>
      <c r="E1460" t="inlineStr">
        <is>
          <t>Technology</t>
        </is>
      </c>
      <c r="F1460" t="inlineStr">
        <is>
          <t>Laptop</t>
        </is>
      </c>
      <c r="G1460" t="inlineStr">
        <is>
          <t>Same Day</t>
        </is>
      </c>
      <c r="H1460" t="n">
        <v>6</v>
      </c>
      <c r="I1460" s="11" t="n">
        <v>255.09</v>
      </c>
      <c r="J1460" s="12" t="n">
        <v>0.15</v>
      </c>
      <c r="K1460" s="11" t="n">
        <v>1300.96</v>
      </c>
      <c r="L1460" s="11" t="n">
        <v>429.42</v>
      </c>
      <c r="M1460" s="12" t="n">
        <v>0.3301</v>
      </c>
    </row>
    <row r="1461">
      <c r="A1461" t="inlineStr">
        <is>
          <t>ORD-11084</t>
        </is>
      </c>
      <c r="B1461" s="10" t="inlineStr">
        <is>
          <t>2025-06-04</t>
        </is>
      </c>
      <c r="C1461" t="inlineStr">
        <is>
          <t>Customer 19</t>
        </is>
      </c>
      <c r="D1461" t="inlineStr">
        <is>
          <t>West</t>
        </is>
      </c>
      <c r="E1461" t="inlineStr">
        <is>
          <t>Technology</t>
        </is>
      </c>
      <c r="F1461" t="inlineStr">
        <is>
          <t>Monitor</t>
        </is>
      </c>
      <c r="G1461" t="inlineStr">
        <is>
          <t>First Class</t>
        </is>
      </c>
      <c r="H1461" t="n">
        <v>4</v>
      </c>
      <c r="I1461" s="11" t="n">
        <v>919.73</v>
      </c>
      <c r="J1461" s="12" t="n">
        <v>0</v>
      </c>
      <c r="K1461" s="11" t="n">
        <v>3678.92</v>
      </c>
      <c r="L1461" s="11" t="n">
        <v>742.41</v>
      </c>
      <c r="M1461" s="12" t="n">
        <v>0.2018</v>
      </c>
    </row>
    <row r="1462">
      <c r="A1462" t="inlineStr">
        <is>
          <t>ORD-10529</t>
        </is>
      </c>
      <c r="B1462" s="10" t="inlineStr">
        <is>
          <t>2025-06-04</t>
        </is>
      </c>
      <c r="C1462" t="inlineStr">
        <is>
          <t>Customer 44</t>
        </is>
      </c>
      <c r="D1462" t="inlineStr">
        <is>
          <t>South</t>
        </is>
      </c>
      <c r="E1462" t="inlineStr">
        <is>
          <t>Technology</t>
        </is>
      </c>
      <c r="F1462" t="inlineStr">
        <is>
          <t>Laptop</t>
        </is>
      </c>
      <c r="G1462" t="inlineStr">
        <is>
          <t>Same Day</t>
        </is>
      </c>
      <c r="H1462" t="n">
        <v>2</v>
      </c>
      <c r="I1462" s="11" t="n">
        <v>847.63</v>
      </c>
      <c r="J1462" s="12" t="n">
        <v>0.1</v>
      </c>
      <c r="K1462" s="11" t="n">
        <v>1525.73</v>
      </c>
      <c r="L1462" s="11" t="n">
        <v>542.64</v>
      </c>
      <c r="M1462" s="12" t="n">
        <v>0.3557</v>
      </c>
    </row>
    <row r="1463">
      <c r="A1463" t="inlineStr">
        <is>
          <t>ORD-10545</t>
        </is>
      </c>
      <c r="B1463" s="10" t="inlineStr">
        <is>
          <t>2025-06-04</t>
        </is>
      </c>
      <c r="C1463" t="inlineStr">
        <is>
          <t>Customer 30</t>
        </is>
      </c>
      <c r="D1463" t="inlineStr">
        <is>
          <t>South</t>
        </is>
      </c>
      <c r="E1463" t="inlineStr">
        <is>
          <t>Office Supplies</t>
        </is>
      </c>
      <c r="F1463" t="inlineStr">
        <is>
          <t>Paper</t>
        </is>
      </c>
      <c r="G1463" t="inlineStr">
        <is>
          <t>Standard Class</t>
        </is>
      </c>
      <c r="H1463" t="n">
        <v>3</v>
      </c>
      <c r="I1463" s="11" t="n">
        <v>966.4299999999999</v>
      </c>
      <c r="J1463" s="12" t="n">
        <v>0</v>
      </c>
      <c r="K1463" s="11" t="n">
        <v>2899.29</v>
      </c>
      <c r="L1463" s="11" t="n">
        <v>1168.99</v>
      </c>
      <c r="M1463" s="12" t="n">
        <v>0.4032</v>
      </c>
    </row>
    <row r="1464">
      <c r="A1464" t="inlineStr">
        <is>
          <t>ORD-10575</t>
        </is>
      </c>
      <c r="B1464" s="10" t="inlineStr">
        <is>
          <t>2025-06-04</t>
        </is>
      </c>
      <c r="C1464" t="inlineStr">
        <is>
          <t>Customer 6</t>
        </is>
      </c>
      <c r="D1464" t="inlineStr">
        <is>
          <t>West</t>
        </is>
      </c>
      <c r="E1464" t="inlineStr">
        <is>
          <t>Technology</t>
        </is>
      </c>
      <c r="F1464" t="inlineStr">
        <is>
          <t>Wireless Mouse</t>
        </is>
      </c>
      <c r="G1464" t="inlineStr">
        <is>
          <t>Same Day</t>
        </is>
      </c>
      <c r="H1464" t="n">
        <v>5</v>
      </c>
      <c r="I1464" s="11" t="n">
        <v>566.87</v>
      </c>
      <c r="J1464" s="12" t="n">
        <v>0</v>
      </c>
      <c r="K1464" s="11" t="n">
        <v>2834.35</v>
      </c>
      <c r="L1464" s="11" t="n">
        <v>980.83</v>
      </c>
      <c r="M1464" s="12" t="n">
        <v>0.3461</v>
      </c>
    </row>
    <row r="1465">
      <c r="A1465" t="inlineStr">
        <is>
          <t>ORD-10472</t>
        </is>
      </c>
      <c r="B1465" s="10" t="inlineStr">
        <is>
          <t>2025-06-05</t>
        </is>
      </c>
      <c r="C1465" t="inlineStr">
        <is>
          <t>Customer 173</t>
        </is>
      </c>
      <c r="D1465" t="inlineStr">
        <is>
          <t>West</t>
        </is>
      </c>
      <c r="E1465" t="inlineStr">
        <is>
          <t>Office Supplies</t>
        </is>
      </c>
      <c r="F1465" t="inlineStr">
        <is>
          <t>Paper</t>
        </is>
      </c>
      <c r="G1465" t="inlineStr">
        <is>
          <t>Standard Class</t>
        </is>
      </c>
      <c r="H1465" t="n">
        <v>1</v>
      </c>
      <c r="I1465" s="11" t="n">
        <v>722.96</v>
      </c>
      <c r="J1465" s="12" t="n">
        <v>0.1</v>
      </c>
      <c r="K1465" s="11" t="n">
        <v>650.66</v>
      </c>
      <c r="L1465" s="11" t="n">
        <v>264.84</v>
      </c>
      <c r="M1465" s="12" t="n">
        <v>0.407</v>
      </c>
    </row>
    <row r="1466">
      <c r="A1466" t="inlineStr">
        <is>
          <t>ORD-10627</t>
        </is>
      </c>
      <c r="B1466" s="10" t="inlineStr">
        <is>
          <t>2025-06-05</t>
        </is>
      </c>
      <c r="C1466" t="inlineStr">
        <is>
          <t>Customer 154</t>
        </is>
      </c>
      <c r="D1466" t="inlineStr">
        <is>
          <t>South</t>
        </is>
      </c>
      <c r="E1466" t="inlineStr">
        <is>
          <t>Technology</t>
        </is>
      </c>
      <c r="F1466" t="inlineStr">
        <is>
          <t>Wireless Mouse</t>
        </is>
      </c>
      <c r="G1466" t="inlineStr">
        <is>
          <t>Standard Class</t>
        </is>
      </c>
      <c r="H1466" t="n">
        <v>11</v>
      </c>
      <c r="I1466" s="11" t="n">
        <v>849.67</v>
      </c>
      <c r="J1466" s="12" t="n">
        <v>0.3</v>
      </c>
      <c r="K1466" s="11" t="n">
        <v>6542.46</v>
      </c>
      <c r="L1466" s="11" t="n">
        <v>904.0700000000001</v>
      </c>
      <c r="M1466" s="12" t="n">
        <v>0.1382</v>
      </c>
    </row>
    <row r="1467">
      <c r="A1467" t="inlineStr">
        <is>
          <t>ORD-11536</t>
        </is>
      </c>
      <c r="B1467" s="10" t="inlineStr">
        <is>
          <t>2025-06-05</t>
        </is>
      </c>
      <c r="C1467" t="inlineStr">
        <is>
          <t>Customer 143</t>
        </is>
      </c>
      <c r="D1467" t="inlineStr">
        <is>
          <t>South</t>
        </is>
      </c>
      <c r="E1467" t="inlineStr">
        <is>
          <t>Furniture</t>
        </is>
      </c>
      <c r="F1467" t="inlineStr">
        <is>
          <t>Bookcase</t>
        </is>
      </c>
      <c r="G1467" t="inlineStr">
        <is>
          <t>Same Day</t>
        </is>
      </c>
      <c r="H1467" t="n">
        <v>7</v>
      </c>
      <c r="I1467" s="11" t="n">
        <v>620.95</v>
      </c>
      <c r="J1467" s="12" t="n">
        <v>0</v>
      </c>
      <c r="K1467" s="11" t="n">
        <v>4346.65</v>
      </c>
      <c r="L1467" s="11" t="n">
        <v>1972.06</v>
      </c>
      <c r="M1467" s="12" t="n">
        <v>0.4537</v>
      </c>
    </row>
    <row r="1468">
      <c r="A1468" t="inlineStr">
        <is>
          <t>ORD-10211</t>
        </is>
      </c>
      <c r="B1468" s="10" t="inlineStr">
        <is>
          <t>2025-06-06</t>
        </is>
      </c>
      <c r="C1468" t="inlineStr">
        <is>
          <t>Customer 60</t>
        </is>
      </c>
      <c r="D1468" t="inlineStr">
        <is>
          <t>East</t>
        </is>
      </c>
      <c r="E1468" t="inlineStr">
        <is>
          <t>Office Supplies</t>
        </is>
      </c>
      <c r="F1468" t="inlineStr">
        <is>
          <t>Paper</t>
        </is>
      </c>
      <c r="G1468" t="inlineStr">
        <is>
          <t>Same Day</t>
        </is>
      </c>
      <c r="H1468" t="n">
        <v>5</v>
      </c>
      <c r="I1468" s="11" t="n">
        <v>278.23</v>
      </c>
      <c r="J1468" s="12" t="n">
        <v>0.1</v>
      </c>
      <c r="K1468" s="11" t="n">
        <v>1252.04</v>
      </c>
      <c r="L1468" s="11" t="n">
        <v>474.24</v>
      </c>
      <c r="M1468" s="12" t="n">
        <v>0.3788</v>
      </c>
    </row>
    <row r="1469">
      <c r="A1469" t="inlineStr">
        <is>
          <t>ORD-11883</t>
        </is>
      </c>
      <c r="B1469" s="10" t="inlineStr">
        <is>
          <t>2025-06-06</t>
        </is>
      </c>
      <c r="C1469" t="inlineStr">
        <is>
          <t>Customer 135</t>
        </is>
      </c>
      <c r="D1469" t="inlineStr">
        <is>
          <t>West</t>
        </is>
      </c>
      <c r="E1469" t="inlineStr">
        <is>
          <t>Furniture</t>
        </is>
      </c>
      <c r="F1469" t="inlineStr">
        <is>
          <t>Chair</t>
        </is>
      </c>
      <c r="G1469" t="inlineStr">
        <is>
          <t>Standard Class</t>
        </is>
      </c>
      <c r="H1469" t="n">
        <v>1</v>
      </c>
      <c r="I1469" s="11" t="n">
        <v>589.89</v>
      </c>
      <c r="J1469" s="12" t="n">
        <v>0</v>
      </c>
      <c r="K1469" s="11" t="n">
        <v>589.89</v>
      </c>
      <c r="L1469" s="11" t="n">
        <v>188.57</v>
      </c>
      <c r="M1469" s="12" t="n">
        <v>0.3197</v>
      </c>
    </row>
    <row r="1470">
      <c r="A1470" t="inlineStr">
        <is>
          <t>ORD-11143</t>
        </is>
      </c>
      <c r="B1470" s="10" t="inlineStr">
        <is>
          <t>2025-06-06</t>
        </is>
      </c>
      <c r="C1470" t="inlineStr">
        <is>
          <t>Customer 37</t>
        </is>
      </c>
      <c r="D1470" t="inlineStr">
        <is>
          <t>West</t>
        </is>
      </c>
      <c r="E1470" t="inlineStr">
        <is>
          <t>Furniture</t>
        </is>
      </c>
      <c r="F1470" t="inlineStr">
        <is>
          <t>Desk</t>
        </is>
      </c>
      <c r="G1470" t="inlineStr">
        <is>
          <t>Same Day</t>
        </is>
      </c>
      <c r="H1470" t="n">
        <v>3</v>
      </c>
      <c r="I1470" s="11" t="n">
        <v>280.1</v>
      </c>
      <c r="J1470" s="12" t="n">
        <v>0.1</v>
      </c>
      <c r="K1470" s="11" t="n">
        <v>756.27</v>
      </c>
      <c r="L1470" s="11" t="n">
        <v>109.28</v>
      </c>
      <c r="M1470" s="12" t="n">
        <v>0.1445</v>
      </c>
    </row>
    <row r="1471">
      <c r="A1471" t="inlineStr">
        <is>
          <t>ORD-10888</t>
        </is>
      </c>
      <c r="B1471" s="10" t="inlineStr">
        <is>
          <t>2025-06-06</t>
        </is>
      </c>
      <c r="C1471" t="inlineStr">
        <is>
          <t>Customer 197</t>
        </is>
      </c>
      <c r="D1471" t="inlineStr">
        <is>
          <t>South</t>
        </is>
      </c>
      <c r="E1471" t="inlineStr">
        <is>
          <t>Technology</t>
        </is>
      </c>
      <c r="F1471" t="inlineStr">
        <is>
          <t>Wireless Mouse</t>
        </is>
      </c>
      <c r="G1471" t="inlineStr">
        <is>
          <t>Second Class</t>
        </is>
      </c>
      <c r="H1471" t="n">
        <v>6</v>
      </c>
      <c r="I1471" s="11" t="n">
        <v>158.32</v>
      </c>
      <c r="J1471" s="12" t="n">
        <v>0</v>
      </c>
      <c r="K1471" s="11" t="n">
        <v>949.92</v>
      </c>
      <c r="L1471" s="11" t="n">
        <v>263.14</v>
      </c>
      <c r="M1471" s="12" t="n">
        <v>0.277</v>
      </c>
    </row>
    <row r="1472">
      <c r="A1472" t="inlineStr">
        <is>
          <t>ORD-10657</t>
        </is>
      </c>
      <c r="B1472" s="10" t="inlineStr">
        <is>
          <t>2025-06-06</t>
        </is>
      </c>
      <c r="C1472" t="inlineStr">
        <is>
          <t>Customer 33</t>
        </is>
      </c>
      <c r="D1472" t="inlineStr">
        <is>
          <t>North</t>
        </is>
      </c>
      <c r="E1472" t="inlineStr">
        <is>
          <t>Office Supplies</t>
        </is>
      </c>
      <c r="F1472" t="inlineStr">
        <is>
          <t>Stapler</t>
        </is>
      </c>
      <c r="G1472" t="inlineStr">
        <is>
          <t>Standard Class</t>
        </is>
      </c>
      <c r="H1472" t="n">
        <v>2</v>
      </c>
      <c r="I1472" s="11" t="n">
        <v>573.02</v>
      </c>
      <c r="J1472" s="12" t="n">
        <v>0</v>
      </c>
      <c r="K1472" s="11" t="n">
        <v>1146.04</v>
      </c>
      <c r="L1472" s="11" t="n">
        <v>514.21</v>
      </c>
      <c r="M1472" s="12" t="n">
        <v>0.4487</v>
      </c>
    </row>
    <row r="1473">
      <c r="A1473" t="inlineStr">
        <is>
          <t>ORD-11576</t>
        </is>
      </c>
      <c r="B1473" s="10" t="inlineStr">
        <is>
          <t>2025-06-07</t>
        </is>
      </c>
      <c r="C1473" t="inlineStr">
        <is>
          <t>Customer 2</t>
        </is>
      </c>
      <c r="D1473" t="inlineStr">
        <is>
          <t>West</t>
        </is>
      </c>
      <c r="E1473" t="inlineStr">
        <is>
          <t>Furniture</t>
        </is>
      </c>
      <c r="F1473" t="inlineStr">
        <is>
          <t>Desk</t>
        </is>
      </c>
      <c r="G1473" t="inlineStr">
        <is>
          <t>Same Day</t>
        </is>
      </c>
      <c r="H1473" t="n">
        <v>3</v>
      </c>
      <c r="I1473" s="11" t="n">
        <v>927.5700000000001</v>
      </c>
      <c r="J1473" s="12" t="n">
        <v>0.3</v>
      </c>
      <c r="K1473" s="11" t="n">
        <v>1947.9</v>
      </c>
      <c r="L1473" s="11" t="n">
        <v>538.84</v>
      </c>
      <c r="M1473" s="12" t="n">
        <v>0.2766</v>
      </c>
    </row>
    <row r="1474">
      <c r="A1474" t="inlineStr">
        <is>
          <t>ORD-10995</t>
        </is>
      </c>
      <c r="B1474" s="10" t="inlineStr">
        <is>
          <t>2025-06-08</t>
        </is>
      </c>
      <c r="C1474" t="inlineStr">
        <is>
          <t>Customer 145</t>
        </is>
      </c>
      <c r="D1474" t="inlineStr">
        <is>
          <t>West</t>
        </is>
      </c>
      <c r="E1474" t="inlineStr">
        <is>
          <t>Technology</t>
        </is>
      </c>
      <c r="F1474" t="inlineStr">
        <is>
          <t>Laptop</t>
        </is>
      </c>
      <c r="G1474" t="inlineStr">
        <is>
          <t>Same Day</t>
        </is>
      </c>
      <c r="H1474" t="n">
        <v>2</v>
      </c>
      <c r="I1474" s="11" t="n">
        <v>1133.45</v>
      </c>
      <c r="J1474" s="12" t="n">
        <v>0</v>
      </c>
      <c r="K1474" s="11" t="n">
        <v>2266.9</v>
      </c>
      <c r="L1474" s="11" t="n">
        <v>585.73</v>
      </c>
      <c r="M1474" s="12" t="n">
        <v>0.2584</v>
      </c>
    </row>
    <row r="1475">
      <c r="A1475" t="inlineStr">
        <is>
          <t>ORD-11788</t>
        </is>
      </c>
      <c r="B1475" s="10" t="inlineStr">
        <is>
          <t>2025-06-08</t>
        </is>
      </c>
      <c r="C1475" t="inlineStr">
        <is>
          <t>Customer 16</t>
        </is>
      </c>
      <c r="D1475" t="inlineStr">
        <is>
          <t>West</t>
        </is>
      </c>
      <c r="E1475" t="inlineStr">
        <is>
          <t>Office Supplies</t>
        </is>
      </c>
      <c r="F1475" t="inlineStr">
        <is>
          <t>Binder</t>
        </is>
      </c>
      <c r="G1475" t="inlineStr">
        <is>
          <t>First Class</t>
        </is>
      </c>
      <c r="H1475" t="n">
        <v>6</v>
      </c>
      <c r="I1475" s="11" t="n">
        <v>694.98</v>
      </c>
      <c r="J1475" s="12" t="n">
        <v>0.3</v>
      </c>
      <c r="K1475" s="11" t="n">
        <v>2918.92</v>
      </c>
      <c r="L1475" s="11" t="n">
        <v>695.85</v>
      </c>
      <c r="M1475" s="12" t="n">
        <v>0.2384</v>
      </c>
    </row>
    <row r="1476">
      <c r="A1476" t="inlineStr">
        <is>
          <t>ORD-10144</t>
        </is>
      </c>
      <c r="B1476" s="10" t="inlineStr">
        <is>
          <t>2025-06-09</t>
        </is>
      </c>
      <c r="C1476" t="inlineStr">
        <is>
          <t>Customer 78</t>
        </is>
      </c>
      <c r="D1476" t="inlineStr">
        <is>
          <t>North</t>
        </is>
      </c>
      <c r="E1476" t="inlineStr">
        <is>
          <t>Office Supplies</t>
        </is>
      </c>
      <c r="F1476" t="inlineStr">
        <is>
          <t>Stapler</t>
        </is>
      </c>
      <c r="G1476" t="inlineStr">
        <is>
          <t>First Class</t>
        </is>
      </c>
      <c r="H1476" t="n">
        <v>2</v>
      </c>
      <c r="I1476" s="11" t="n">
        <v>613.1799999999999</v>
      </c>
      <c r="J1476" s="12" t="n">
        <v>0.2</v>
      </c>
      <c r="K1476" s="11" t="n">
        <v>981.09</v>
      </c>
      <c r="L1476" s="11" t="n">
        <v>187.94</v>
      </c>
      <c r="M1476" s="12" t="n">
        <v>0.1916</v>
      </c>
    </row>
    <row r="1477">
      <c r="A1477" t="inlineStr">
        <is>
          <t>ORD-10599</t>
        </is>
      </c>
      <c r="B1477" s="10" t="inlineStr">
        <is>
          <t>2025-06-09</t>
        </is>
      </c>
      <c r="C1477" t="inlineStr">
        <is>
          <t>Customer 159</t>
        </is>
      </c>
      <c r="D1477" t="inlineStr">
        <is>
          <t>East</t>
        </is>
      </c>
      <c r="E1477" t="inlineStr">
        <is>
          <t>Technology</t>
        </is>
      </c>
      <c r="F1477" t="inlineStr">
        <is>
          <t>Laptop</t>
        </is>
      </c>
      <c r="G1477" t="inlineStr">
        <is>
          <t>Same Day</t>
        </is>
      </c>
      <c r="H1477" t="n">
        <v>11</v>
      </c>
      <c r="I1477" s="11" t="n">
        <v>1195.54</v>
      </c>
      <c r="J1477" s="12" t="n">
        <v>0.3</v>
      </c>
      <c r="K1477" s="11" t="n">
        <v>9205.66</v>
      </c>
      <c r="L1477" s="11" t="n">
        <v>682.8</v>
      </c>
      <c r="M1477" s="12" t="n">
        <v>0.0742</v>
      </c>
    </row>
    <row r="1478">
      <c r="A1478" t="inlineStr">
        <is>
          <t>ORD-11992</t>
        </is>
      </c>
      <c r="B1478" s="10" t="inlineStr">
        <is>
          <t>2025-06-10</t>
        </is>
      </c>
      <c r="C1478" t="inlineStr">
        <is>
          <t>Customer 176</t>
        </is>
      </c>
      <c r="D1478" t="inlineStr">
        <is>
          <t>South</t>
        </is>
      </c>
      <c r="E1478" t="inlineStr">
        <is>
          <t>Furniture</t>
        </is>
      </c>
      <c r="F1478" t="inlineStr">
        <is>
          <t>Chair</t>
        </is>
      </c>
      <c r="G1478" t="inlineStr">
        <is>
          <t>First Class</t>
        </is>
      </c>
      <c r="H1478" t="n">
        <v>10</v>
      </c>
      <c r="I1478" s="11" t="n">
        <v>1153.95</v>
      </c>
      <c r="J1478" s="12" t="n">
        <v>0.1</v>
      </c>
      <c r="K1478" s="11" t="n">
        <v>10385.55</v>
      </c>
      <c r="L1478" s="11" t="n">
        <v>2094.75</v>
      </c>
      <c r="M1478" s="12" t="n">
        <v>0.2017</v>
      </c>
    </row>
    <row r="1479">
      <c r="A1479" t="inlineStr">
        <is>
          <t>ORD-10111</t>
        </is>
      </c>
      <c r="B1479" s="10" t="inlineStr">
        <is>
          <t>2025-06-10</t>
        </is>
      </c>
      <c r="C1479" t="inlineStr">
        <is>
          <t>Customer 153</t>
        </is>
      </c>
      <c r="D1479" t="inlineStr">
        <is>
          <t>West</t>
        </is>
      </c>
      <c r="E1479" t="inlineStr">
        <is>
          <t>Office Supplies</t>
        </is>
      </c>
      <c r="F1479" t="inlineStr">
        <is>
          <t>Paper</t>
        </is>
      </c>
      <c r="G1479" t="inlineStr">
        <is>
          <t>Second Class</t>
        </is>
      </c>
      <c r="H1479" t="n">
        <v>10</v>
      </c>
      <c r="I1479" s="11" t="n">
        <v>645.76</v>
      </c>
      <c r="J1479" s="12" t="n">
        <v>0</v>
      </c>
      <c r="K1479" s="11" t="n">
        <v>6457.6</v>
      </c>
      <c r="L1479" s="11" t="n">
        <v>2611.35</v>
      </c>
      <c r="M1479" s="12" t="n">
        <v>0.4044</v>
      </c>
    </row>
    <row r="1480">
      <c r="A1480" t="inlineStr">
        <is>
          <t>ORD-11038</t>
        </is>
      </c>
      <c r="B1480" s="10" t="inlineStr">
        <is>
          <t>2025-06-11</t>
        </is>
      </c>
      <c r="C1480" t="inlineStr">
        <is>
          <t>Customer 121</t>
        </is>
      </c>
      <c r="D1480" t="inlineStr">
        <is>
          <t>South</t>
        </is>
      </c>
      <c r="E1480" t="inlineStr">
        <is>
          <t>Technology</t>
        </is>
      </c>
      <c r="F1480" t="inlineStr">
        <is>
          <t>Wireless Mouse</t>
        </is>
      </c>
      <c r="G1480" t="inlineStr">
        <is>
          <t>Standard Class</t>
        </is>
      </c>
      <c r="H1480" t="n">
        <v>2</v>
      </c>
      <c r="I1480" s="11" t="n">
        <v>410.41</v>
      </c>
      <c r="J1480" s="12" t="n">
        <v>0</v>
      </c>
      <c r="K1480" s="11" t="n">
        <v>820.8200000000001</v>
      </c>
      <c r="L1480" s="11" t="n">
        <v>387.49</v>
      </c>
      <c r="M1480" s="12" t="n">
        <v>0.4721</v>
      </c>
    </row>
    <row r="1481">
      <c r="A1481" t="inlineStr">
        <is>
          <t>ORD-11274</t>
        </is>
      </c>
      <c r="B1481" s="10" t="inlineStr">
        <is>
          <t>2025-06-11</t>
        </is>
      </c>
      <c r="C1481" t="inlineStr">
        <is>
          <t>Customer 197</t>
        </is>
      </c>
      <c r="D1481" t="inlineStr">
        <is>
          <t>South</t>
        </is>
      </c>
      <c r="E1481" t="inlineStr">
        <is>
          <t>Technology</t>
        </is>
      </c>
      <c r="F1481" t="inlineStr">
        <is>
          <t>Printer</t>
        </is>
      </c>
      <c r="G1481" t="inlineStr">
        <is>
          <t>Second Class</t>
        </is>
      </c>
      <c r="H1481" t="n">
        <v>3</v>
      </c>
      <c r="I1481" s="11" t="n">
        <v>1004.5</v>
      </c>
      <c r="J1481" s="12" t="n">
        <v>0</v>
      </c>
      <c r="K1481" s="11" t="n">
        <v>3013.5</v>
      </c>
      <c r="L1481" s="11" t="n">
        <v>1060.64</v>
      </c>
      <c r="M1481" s="12" t="n">
        <v>0.352</v>
      </c>
    </row>
    <row r="1482">
      <c r="A1482" t="inlineStr">
        <is>
          <t>ORD-11043</t>
        </is>
      </c>
      <c r="B1482" s="10" t="inlineStr">
        <is>
          <t>2025-06-12</t>
        </is>
      </c>
      <c r="C1482" t="inlineStr">
        <is>
          <t>Customer 13</t>
        </is>
      </c>
      <c r="D1482" t="inlineStr">
        <is>
          <t>East</t>
        </is>
      </c>
      <c r="E1482" t="inlineStr">
        <is>
          <t>Technology</t>
        </is>
      </c>
      <c r="F1482" t="inlineStr">
        <is>
          <t>Laptop</t>
        </is>
      </c>
      <c r="G1482" t="inlineStr">
        <is>
          <t>Same Day</t>
        </is>
      </c>
      <c r="H1482" t="n">
        <v>3</v>
      </c>
      <c r="I1482" s="11" t="n">
        <v>602.58</v>
      </c>
      <c r="J1482" s="12" t="n">
        <v>0</v>
      </c>
      <c r="K1482" s="11" t="n">
        <v>1807.74</v>
      </c>
      <c r="L1482" s="11" t="n">
        <v>696.1900000000001</v>
      </c>
      <c r="M1482" s="12" t="n">
        <v>0.3851</v>
      </c>
    </row>
    <row r="1483">
      <c r="A1483" t="inlineStr">
        <is>
          <t>ORD-10346</t>
        </is>
      </c>
      <c r="B1483" s="10" t="inlineStr">
        <is>
          <t>2025-06-12</t>
        </is>
      </c>
      <c r="C1483" t="inlineStr">
        <is>
          <t>Customer 127</t>
        </is>
      </c>
      <c r="D1483" t="inlineStr">
        <is>
          <t>North</t>
        </is>
      </c>
      <c r="E1483" t="inlineStr">
        <is>
          <t>Office Supplies</t>
        </is>
      </c>
      <c r="F1483" t="inlineStr">
        <is>
          <t>Binder</t>
        </is>
      </c>
      <c r="G1483" t="inlineStr">
        <is>
          <t>Standard Class</t>
        </is>
      </c>
      <c r="H1483" t="n">
        <v>1</v>
      </c>
      <c r="I1483" s="11" t="n">
        <v>84.34999999999999</v>
      </c>
      <c r="J1483" s="12" t="n">
        <v>0.15</v>
      </c>
      <c r="K1483" s="11" t="n">
        <v>71.7</v>
      </c>
      <c r="L1483" s="11" t="n">
        <v>4.86</v>
      </c>
      <c r="M1483" s="12" t="n">
        <v>0.0678</v>
      </c>
    </row>
    <row r="1484">
      <c r="A1484" t="inlineStr">
        <is>
          <t>ORD-11054</t>
        </is>
      </c>
      <c r="B1484" s="10" t="inlineStr">
        <is>
          <t>2025-06-12</t>
        </is>
      </c>
      <c r="C1484" t="inlineStr">
        <is>
          <t>Customer 134</t>
        </is>
      </c>
      <c r="D1484" t="inlineStr">
        <is>
          <t>East</t>
        </is>
      </c>
      <c r="E1484" t="inlineStr">
        <is>
          <t>Office Supplies</t>
        </is>
      </c>
      <c r="F1484" t="inlineStr">
        <is>
          <t>Pens (Box)</t>
        </is>
      </c>
      <c r="G1484" t="inlineStr">
        <is>
          <t>First Class</t>
        </is>
      </c>
      <c r="H1484" t="n">
        <v>10</v>
      </c>
      <c r="I1484" s="11" t="n">
        <v>858.59</v>
      </c>
      <c r="J1484" s="12" t="n">
        <v>0.1</v>
      </c>
      <c r="K1484" s="11" t="n">
        <v>7727.31</v>
      </c>
      <c r="L1484" s="11" t="n">
        <v>758.78</v>
      </c>
      <c r="M1484" s="12" t="n">
        <v>0.0982</v>
      </c>
    </row>
    <row r="1485">
      <c r="A1485" t="inlineStr">
        <is>
          <t>ORD-11232</t>
        </is>
      </c>
      <c r="B1485" s="10" t="inlineStr">
        <is>
          <t>2025-06-13</t>
        </is>
      </c>
      <c r="C1485" t="inlineStr">
        <is>
          <t>Customer 167</t>
        </is>
      </c>
      <c r="D1485" t="inlineStr">
        <is>
          <t>South</t>
        </is>
      </c>
      <c r="E1485" t="inlineStr">
        <is>
          <t>Technology</t>
        </is>
      </c>
      <c r="F1485" t="inlineStr">
        <is>
          <t>Printer</t>
        </is>
      </c>
      <c r="G1485" t="inlineStr">
        <is>
          <t>Same Day</t>
        </is>
      </c>
      <c r="H1485" t="n">
        <v>1</v>
      </c>
      <c r="I1485" s="11" t="n">
        <v>840.52</v>
      </c>
      <c r="J1485" s="12" t="n">
        <v>0</v>
      </c>
      <c r="K1485" s="11" t="n">
        <v>840.52</v>
      </c>
      <c r="L1485" s="11" t="n">
        <v>343.78</v>
      </c>
      <c r="M1485" s="12" t="n">
        <v>0.409</v>
      </c>
    </row>
    <row r="1486">
      <c r="A1486" t="inlineStr">
        <is>
          <t>ORD-10647</t>
        </is>
      </c>
      <c r="B1486" s="10" t="inlineStr">
        <is>
          <t>2025-06-14</t>
        </is>
      </c>
      <c r="C1486" t="inlineStr">
        <is>
          <t>Customer 103</t>
        </is>
      </c>
      <c r="D1486" t="inlineStr">
        <is>
          <t>West</t>
        </is>
      </c>
      <c r="E1486" t="inlineStr">
        <is>
          <t>Office Supplies</t>
        </is>
      </c>
      <c r="F1486" t="inlineStr">
        <is>
          <t>Pens (Box)</t>
        </is>
      </c>
      <c r="G1486" t="inlineStr">
        <is>
          <t>Standard Class</t>
        </is>
      </c>
      <c r="H1486" t="n">
        <v>6</v>
      </c>
      <c r="I1486" s="11" t="n">
        <v>858.0599999999999</v>
      </c>
      <c r="J1486" s="12" t="n">
        <v>0.3</v>
      </c>
      <c r="K1486" s="11" t="n">
        <v>3603.85</v>
      </c>
      <c r="L1486" s="11" t="n">
        <v>398.46</v>
      </c>
      <c r="M1486" s="12" t="n">
        <v>0.1106</v>
      </c>
    </row>
    <row r="1487">
      <c r="A1487" t="inlineStr">
        <is>
          <t>ORD-11015</t>
        </is>
      </c>
      <c r="B1487" s="10" t="inlineStr">
        <is>
          <t>2025-06-14</t>
        </is>
      </c>
      <c r="C1487" t="inlineStr">
        <is>
          <t>Customer 53</t>
        </is>
      </c>
      <c r="D1487" t="inlineStr">
        <is>
          <t>South</t>
        </is>
      </c>
      <c r="E1487" t="inlineStr">
        <is>
          <t>Furniture</t>
        </is>
      </c>
      <c r="F1487" t="inlineStr">
        <is>
          <t>Chair</t>
        </is>
      </c>
      <c r="G1487" t="inlineStr">
        <is>
          <t>Second Class</t>
        </is>
      </c>
      <c r="H1487" t="n">
        <v>10</v>
      </c>
      <c r="I1487" s="11" t="n">
        <v>982.6900000000001</v>
      </c>
      <c r="J1487" s="12" t="n">
        <v>0</v>
      </c>
      <c r="K1487" s="11" t="n">
        <v>9826.9</v>
      </c>
      <c r="L1487" s="11" t="n">
        <v>3952.34</v>
      </c>
      <c r="M1487" s="12" t="n">
        <v>0.4022</v>
      </c>
    </row>
    <row r="1488">
      <c r="A1488" t="inlineStr">
        <is>
          <t>ORD-11462</t>
        </is>
      </c>
      <c r="B1488" s="10" t="inlineStr">
        <is>
          <t>2025-06-14</t>
        </is>
      </c>
      <c r="C1488" t="inlineStr">
        <is>
          <t>Customer 12</t>
        </is>
      </c>
      <c r="D1488" t="inlineStr">
        <is>
          <t>West</t>
        </is>
      </c>
      <c r="E1488" t="inlineStr">
        <is>
          <t>Office Supplies</t>
        </is>
      </c>
      <c r="F1488" t="inlineStr">
        <is>
          <t>Binder</t>
        </is>
      </c>
      <c r="G1488" t="inlineStr">
        <is>
          <t>First Class</t>
        </is>
      </c>
      <c r="H1488" t="n">
        <v>8</v>
      </c>
      <c r="I1488" s="11" t="n">
        <v>651.4299999999999</v>
      </c>
      <c r="J1488" s="12" t="n">
        <v>0</v>
      </c>
      <c r="K1488" s="11" t="n">
        <v>5211.44</v>
      </c>
      <c r="L1488" s="11" t="n">
        <v>2249.59</v>
      </c>
      <c r="M1488" s="12" t="n">
        <v>0.4317</v>
      </c>
    </row>
    <row r="1489">
      <c r="A1489" t="inlineStr">
        <is>
          <t>ORD-11297</t>
        </is>
      </c>
      <c r="B1489" s="10" t="inlineStr">
        <is>
          <t>2025-06-16</t>
        </is>
      </c>
      <c r="C1489" t="inlineStr">
        <is>
          <t>Customer 4</t>
        </is>
      </c>
      <c r="D1489" t="inlineStr">
        <is>
          <t>South</t>
        </is>
      </c>
      <c r="E1489" t="inlineStr">
        <is>
          <t>Furniture</t>
        </is>
      </c>
      <c r="F1489" t="inlineStr">
        <is>
          <t>Chair</t>
        </is>
      </c>
      <c r="G1489" t="inlineStr">
        <is>
          <t>First Class</t>
        </is>
      </c>
      <c r="H1489" t="n">
        <v>10</v>
      </c>
      <c r="I1489" s="11" t="n">
        <v>985.9400000000001</v>
      </c>
      <c r="J1489" s="12" t="n">
        <v>0.1</v>
      </c>
      <c r="K1489" s="11" t="n">
        <v>8873.459999999999</v>
      </c>
      <c r="L1489" s="11" t="n">
        <v>1359.77</v>
      </c>
      <c r="M1489" s="12" t="n">
        <v>0.1532</v>
      </c>
    </row>
    <row r="1490">
      <c r="A1490" t="inlineStr">
        <is>
          <t>ORD-11320</t>
        </is>
      </c>
      <c r="B1490" s="10" t="inlineStr">
        <is>
          <t>2025-06-16</t>
        </is>
      </c>
      <c r="C1490" t="inlineStr">
        <is>
          <t>Customer 4</t>
        </is>
      </c>
      <c r="D1490" t="inlineStr">
        <is>
          <t>South</t>
        </is>
      </c>
      <c r="E1490" t="inlineStr">
        <is>
          <t>Technology</t>
        </is>
      </c>
      <c r="F1490" t="inlineStr">
        <is>
          <t>Laptop</t>
        </is>
      </c>
      <c r="G1490" t="inlineStr">
        <is>
          <t>First Class</t>
        </is>
      </c>
      <c r="H1490" t="n">
        <v>6</v>
      </c>
      <c r="I1490" s="11" t="n">
        <v>934.04</v>
      </c>
      <c r="J1490" s="12" t="n">
        <v>0.1</v>
      </c>
      <c r="K1490" s="11" t="n">
        <v>5043.82</v>
      </c>
      <c r="L1490" s="11" t="n">
        <v>719.2</v>
      </c>
      <c r="M1490" s="12" t="n">
        <v>0.1426</v>
      </c>
    </row>
    <row r="1491">
      <c r="A1491" t="inlineStr">
        <is>
          <t>ORD-10041</t>
        </is>
      </c>
      <c r="B1491" s="10" t="inlineStr">
        <is>
          <t>2025-06-16</t>
        </is>
      </c>
      <c r="C1491" t="inlineStr">
        <is>
          <t>Customer 171</t>
        </is>
      </c>
      <c r="D1491" t="inlineStr">
        <is>
          <t>North</t>
        </is>
      </c>
      <c r="E1491" t="inlineStr">
        <is>
          <t>Office Supplies</t>
        </is>
      </c>
      <c r="F1491" t="inlineStr">
        <is>
          <t>Pens (Box)</t>
        </is>
      </c>
      <c r="G1491" t="inlineStr">
        <is>
          <t>Same Day</t>
        </is>
      </c>
      <c r="H1491" t="n">
        <v>2</v>
      </c>
      <c r="I1491" s="11" t="n">
        <v>144.94</v>
      </c>
      <c r="J1491" s="12" t="n">
        <v>0</v>
      </c>
      <c r="K1491" s="11" t="n">
        <v>289.88</v>
      </c>
      <c r="L1491" s="11" t="n">
        <v>78.19</v>
      </c>
      <c r="M1491" s="12" t="n">
        <v>0.2697</v>
      </c>
    </row>
    <row r="1492">
      <c r="A1492" t="inlineStr">
        <is>
          <t>ORD-10671</t>
        </is>
      </c>
      <c r="B1492" s="10" t="inlineStr">
        <is>
          <t>2025-06-16</t>
        </is>
      </c>
      <c r="C1492" t="inlineStr">
        <is>
          <t>Customer 74</t>
        </is>
      </c>
      <c r="D1492" t="inlineStr">
        <is>
          <t>North</t>
        </is>
      </c>
      <c r="E1492" t="inlineStr">
        <is>
          <t>Technology</t>
        </is>
      </c>
      <c r="F1492" t="inlineStr">
        <is>
          <t>Printer</t>
        </is>
      </c>
      <c r="G1492" t="inlineStr">
        <is>
          <t>First Class</t>
        </is>
      </c>
      <c r="H1492" t="n">
        <v>2</v>
      </c>
      <c r="I1492" s="11" t="n">
        <v>702.96</v>
      </c>
      <c r="J1492" s="12" t="n">
        <v>0</v>
      </c>
      <c r="K1492" s="11" t="n">
        <v>1405.92</v>
      </c>
      <c r="L1492" s="11" t="n">
        <v>297.25</v>
      </c>
      <c r="M1492" s="12" t="n">
        <v>0.2114</v>
      </c>
    </row>
    <row r="1493">
      <c r="A1493" t="inlineStr">
        <is>
          <t>ORD-11386</t>
        </is>
      </c>
      <c r="B1493" s="10" t="inlineStr">
        <is>
          <t>2025-06-17</t>
        </is>
      </c>
      <c r="C1493" t="inlineStr">
        <is>
          <t>Customer 61</t>
        </is>
      </c>
      <c r="D1493" t="inlineStr">
        <is>
          <t>West</t>
        </is>
      </c>
      <c r="E1493" t="inlineStr">
        <is>
          <t>Furniture</t>
        </is>
      </c>
      <c r="F1493" t="inlineStr">
        <is>
          <t>Bookcase</t>
        </is>
      </c>
      <c r="G1493" t="inlineStr">
        <is>
          <t>Same Day</t>
        </is>
      </c>
      <c r="H1493" t="n">
        <v>7</v>
      </c>
      <c r="I1493" s="11" t="n">
        <v>876.24</v>
      </c>
      <c r="J1493" s="12" t="n">
        <v>0</v>
      </c>
      <c r="K1493" s="11" t="n">
        <v>6133.68</v>
      </c>
      <c r="L1493" s="11" t="n">
        <v>2102.73</v>
      </c>
      <c r="M1493" s="12" t="n">
        <v>0.3428</v>
      </c>
    </row>
    <row r="1494">
      <c r="A1494" t="inlineStr">
        <is>
          <t>ORD-11787</t>
        </is>
      </c>
      <c r="B1494" s="10" t="inlineStr">
        <is>
          <t>2025-06-17</t>
        </is>
      </c>
      <c r="C1494" t="inlineStr">
        <is>
          <t>Customer 142</t>
        </is>
      </c>
      <c r="D1494" t="inlineStr">
        <is>
          <t>North</t>
        </is>
      </c>
      <c r="E1494" t="inlineStr">
        <is>
          <t>Technology</t>
        </is>
      </c>
      <c r="F1494" t="inlineStr">
        <is>
          <t>Laptop</t>
        </is>
      </c>
      <c r="G1494" t="inlineStr">
        <is>
          <t>Same Day</t>
        </is>
      </c>
      <c r="H1494" t="n">
        <v>7</v>
      </c>
      <c r="I1494" s="11" t="n">
        <v>69.95</v>
      </c>
      <c r="J1494" s="12" t="n">
        <v>0</v>
      </c>
      <c r="K1494" s="11" t="n">
        <v>489.65</v>
      </c>
      <c r="L1494" s="11" t="n">
        <v>184.61</v>
      </c>
      <c r="M1494" s="12" t="n">
        <v>0.377</v>
      </c>
    </row>
    <row r="1495">
      <c r="A1495" t="inlineStr">
        <is>
          <t>ORD-10833</t>
        </is>
      </c>
      <c r="B1495" s="10" t="inlineStr">
        <is>
          <t>2025-06-18</t>
        </is>
      </c>
      <c r="C1495" t="inlineStr">
        <is>
          <t>Customer 103</t>
        </is>
      </c>
      <c r="D1495" t="inlineStr">
        <is>
          <t>West</t>
        </is>
      </c>
      <c r="E1495" t="inlineStr">
        <is>
          <t>Office Supplies</t>
        </is>
      </c>
      <c r="F1495" t="inlineStr">
        <is>
          <t>Paper</t>
        </is>
      </c>
      <c r="G1495" t="inlineStr">
        <is>
          <t>Second Class</t>
        </is>
      </c>
      <c r="H1495" t="n">
        <v>7</v>
      </c>
      <c r="I1495" s="11" t="n">
        <v>125.87</v>
      </c>
      <c r="J1495" s="12" t="n">
        <v>0</v>
      </c>
      <c r="K1495" s="11" t="n">
        <v>881.09</v>
      </c>
      <c r="L1495" s="11" t="n">
        <v>296.2</v>
      </c>
      <c r="M1495" s="12" t="n">
        <v>0.3362</v>
      </c>
    </row>
    <row r="1496">
      <c r="A1496" t="inlineStr">
        <is>
          <t>ORD-11980</t>
        </is>
      </c>
      <c r="B1496" s="10" t="inlineStr">
        <is>
          <t>2025-06-18</t>
        </is>
      </c>
      <c r="C1496" t="inlineStr">
        <is>
          <t>Customer 129</t>
        </is>
      </c>
      <c r="D1496" t="inlineStr">
        <is>
          <t>East</t>
        </is>
      </c>
      <c r="E1496" t="inlineStr">
        <is>
          <t>Office Supplies</t>
        </is>
      </c>
      <c r="F1496" t="inlineStr">
        <is>
          <t>Binder</t>
        </is>
      </c>
      <c r="G1496" t="inlineStr">
        <is>
          <t>Second Class</t>
        </is>
      </c>
      <c r="H1496" t="n">
        <v>8</v>
      </c>
      <c r="I1496" s="11" t="n">
        <v>702.39</v>
      </c>
      <c r="J1496" s="12" t="n">
        <v>0</v>
      </c>
      <c r="K1496" s="11" t="n">
        <v>5619.12</v>
      </c>
      <c r="L1496" s="11" t="n">
        <v>2699.32</v>
      </c>
      <c r="M1496" s="12" t="n">
        <v>0.4804</v>
      </c>
    </row>
    <row r="1497">
      <c r="A1497" t="inlineStr">
        <is>
          <t>ORD-10795</t>
        </is>
      </c>
      <c r="B1497" s="10" t="inlineStr">
        <is>
          <t>2025-06-18</t>
        </is>
      </c>
      <c r="C1497" t="inlineStr">
        <is>
          <t>Customer 162</t>
        </is>
      </c>
      <c r="D1497" t="inlineStr">
        <is>
          <t>East</t>
        </is>
      </c>
      <c r="E1497" t="inlineStr">
        <is>
          <t>Technology</t>
        </is>
      </c>
      <c r="F1497" t="inlineStr">
        <is>
          <t>Monitor</t>
        </is>
      </c>
      <c r="G1497" t="inlineStr">
        <is>
          <t>Same Day</t>
        </is>
      </c>
      <c r="H1497" t="n">
        <v>2</v>
      </c>
      <c r="I1497" s="11" t="n">
        <v>1063.37</v>
      </c>
      <c r="J1497" s="12" t="n">
        <v>0</v>
      </c>
      <c r="K1497" s="11" t="n">
        <v>2126.74</v>
      </c>
      <c r="L1497" s="11" t="n">
        <v>1026.35</v>
      </c>
      <c r="M1497" s="12" t="n">
        <v>0.4826</v>
      </c>
    </row>
    <row r="1498">
      <c r="A1498" t="inlineStr">
        <is>
          <t>ORD-10281</t>
        </is>
      </c>
      <c r="B1498" s="10" t="inlineStr">
        <is>
          <t>2025-06-19</t>
        </is>
      </c>
      <c r="C1498" t="inlineStr">
        <is>
          <t>Customer 198</t>
        </is>
      </c>
      <c r="D1498" t="inlineStr">
        <is>
          <t>North</t>
        </is>
      </c>
      <c r="E1498" t="inlineStr">
        <is>
          <t>Technology</t>
        </is>
      </c>
      <c r="F1498" t="inlineStr">
        <is>
          <t>Printer</t>
        </is>
      </c>
      <c r="G1498" t="inlineStr">
        <is>
          <t>Standard Class</t>
        </is>
      </c>
      <c r="H1498" t="n">
        <v>4</v>
      </c>
      <c r="I1498" s="11" t="n">
        <v>575.29</v>
      </c>
      <c r="J1498" s="12" t="n">
        <v>0</v>
      </c>
      <c r="K1498" s="11" t="n">
        <v>2301.16</v>
      </c>
      <c r="L1498" s="11" t="n">
        <v>969.83</v>
      </c>
      <c r="M1498" s="12" t="n">
        <v>0.4215</v>
      </c>
    </row>
    <row r="1499">
      <c r="A1499" t="inlineStr">
        <is>
          <t>ORD-10780</t>
        </is>
      </c>
      <c r="B1499" s="10" t="inlineStr">
        <is>
          <t>2025-06-19</t>
        </is>
      </c>
      <c r="C1499" t="inlineStr">
        <is>
          <t>Customer 153</t>
        </is>
      </c>
      <c r="D1499" t="inlineStr">
        <is>
          <t>West</t>
        </is>
      </c>
      <c r="E1499" t="inlineStr">
        <is>
          <t>Technology</t>
        </is>
      </c>
      <c r="F1499" t="inlineStr">
        <is>
          <t>Printer</t>
        </is>
      </c>
      <c r="G1499" t="inlineStr">
        <is>
          <t>Second Class</t>
        </is>
      </c>
      <c r="H1499" t="n">
        <v>4</v>
      </c>
      <c r="I1499" s="11" t="n">
        <v>442.81</v>
      </c>
      <c r="J1499" s="12" t="n">
        <v>0.1</v>
      </c>
      <c r="K1499" s="11" t="n">
        <v>1594.12</v>
      </c>
      <c r="L1499" s="11" t="n">
        <v>631.54</v>
      </c>
      <c r="M1499" s="12" t="n">
        <v>0.3962</v>
      </c>
    </row>
    <row r="1500">
      <c r="A1500" t="inlineStr">
        <is>
          <t>ORD-10556</t>
        </is>
      </c>
      <c r="B1500" s="10" t="inlineStr">
        <is>
          <t>2025-06-19</t>
        </is>
      </c>
      <c r="C1500" t="inlineStr">
        <is>
          <t>Customer 87</t>
        </is>
      </c>
      <c r="D1500" t="inlineStr">
        <is>
          <t>North</t>
        </is>
      </c>
      <c r="E1500" t="inlineStr">
        <is>
          <t>Office Supplies</t>
        </is>
      </c>
      <c r="F1500" t="inlineStr">
        <is>
          <t>Binder</t>
        </is>
      </c>
      <c r="G1500" t="inlineStr">
        <is>
          <t>Same Day</t>
        </is>
      </c>
      <c r="H1500" t="n">
        <v>10</v>
      </c>
      <c r="I1500" s="11" t="n">
        <v>1041.78</v>
      </c>
      <c r="J1500" s="12" t="n">
        <v>0.1</v>
      </c>
      <c r="K1500" s="11" t="n">
        <v>9376.02</v>
      </c>
      <c r="L1500" s="11" t="n">
        <v>549.16</v>
      </c>
      <c r="M1500" s="12" t="n">
        <v>0.0586</v>
      </c>
    </row>
    <row r="1501">
      <c r="A1501" t="inlineStr">
        <is>
          <t>ORD-10080</t>
        </is>
      </c>
      <c r="B1501" s="10" t="inlineStr">
        <is>
          <t>2025-06-19</t>
        </is>
      </c>
      <c r="C1501" t="inlineStr">
        <is>
          <t>Customer 170</t>
        </is>
      </c>
      <c r="D1501" t="inlineStr">
        <is>
          <t>North</t>
        </is>
      </c>
      <c r="E1501" t="inlineStr">
        <is>
          <t>Furniture</t>
        </is>
      </c>
      <c r="F1501" t="inlineStr">
        <is>
          <t>Desk</t>
        </is>
      </c>
      <c r="G1501" t="inlineStr">
        <is>
          <t>Standard Class</t>
        </is>
      </c>
      <c r="H1501" t="n">
        <v>10</v>
      </c>
      <c r="I1501" s="11" t="n">
        <v>901.23</v>
      </c>
      <c r="J1501" s="12" t="n">
        <v>0</v>
      </c>
      <c r="K1501" s="11" t="n">
        <v>9012.299999999999</v>
      </c>
      <c r="L1501" s="11" t="n">
        <v>4115.43</v>
      </c>
      <c r="M1501" s="12" t="n">
        <v>0.4566</v>
      </c>
    </row>
    <row r="1502">
      <c r="A1502" t="inlineStr">
        <is>
          <t>ORD-11321</t>
        </is>
      </c>
      <c r="B1502" s="10" t="inlineStr">
        <is>
          <t>2025-06-20</t>
        </is>
      </c>
      <c r="C1502" t="inlineStr">
        <is>
          <t>Customer 13</t>
        </is>
      </c>
      <c r="D1502" t="inlineStr">
        <is>
          <t>East</t>
        </is>
      </c>
      <c r="E1502" t="inlineStr">
        <is>
          <t>Furniture</t>
        </is>
      </c>
      <c r="F1502" t="inlineStr">
        <is>
          <t>Desk</t>
        </is>
      </c>
      <c r="G1502" t="inlineStr">
        <is>
          <t>Second Class</t>
        </is>
      </c>
      <c r="H1502" t="n">
        <v>7</v>
      </c>
      <c r="I1502" s="11" t="n">
        <v>933.37</v>
      </c>
      <c r="J1502" s="12" t="n">
        <v>0.15</v>
      </c>
      <c r="K1502" s="11" t="n">
        <v>5553.55</v>
      </c>
      <c r="L1502" s="11" t="n">
        <v>1723.67</v>
      </c>
      <c r="M1502" s="12" t="n">
        <v>0.3104</v>
      </c>
    </row>
    <row r="1503">
      <c r="A1503" t="inlineStr">
        <is>
          <t>ORD-11140</t>
        </is>
      </c>
      <c r="B1503" s="10" t="inlineStr">
        <is>
          <t>2025-06-20</t>
        </is>
      </c>
      <c r="C1503" t="inlineStr">
        <is>
          <t>Customer 140</t>
        </is>
      </c>
      <c r="D1503" t="inlineStr">
        <is>
          <t>South</t>
        </is>
      </c>
      <c r="E1503" t="inlineStr">
        <is>
          <t>Office Supplies</t>
        </is>
      </c>
      <c r="F1503" t="inlineStr">
        <is>
          <t>Stapler</t>
        </is>
      </c>
      <c r="G1503" t="inlineStr">
        <is>
          <t>First Class</t>
        </is>
      </c>
      <c r="H1503" t="n">
        <v>7</v>
      </c>
      <c r="I1503" s="11" t="n">
        <v>1157.52</v>
      </c>
      <c r="J1503" s="12" t="n">
        <v>0.15</v>
      </c>
      <c r="K1503" s="11" t="n">
        <v>6887.24</v>
      </c>
      <c r="L1503" s="11" t="n">
        <v>1073.34</v>
      </c>
      <c r="M1503" s="12" t="n">
        <v>0.1558</v>
      </c>
    </row>
    <row r="1504">
      <c r="A1504" t="inlineStr">
        <is>
          <t>ORD-10143</t>
        </is>
      </c>
      <c r="B1504" s="10" t="inlineStr">
        <is>
          <t>2025-06-20</t>
        </is>
      </c>
      <c r="C1504" t="inlineStr">
        <is>
          <t>Customer 133</t>
        </is>
      </c>
      <c r="D1504" t="inlineStr">
        <is>
          <t>North</t>
        </is>
      </c>
      <c r="E1504" t="inlineStr">
        <is>
          <t>Technology</t>
        </is>
      </c>
      <c r="F1504" t="inlineStr">
        <is>
          <t>Wireless Mouse</t>
        </is>
      </c>
      <c r="G1504" t="inlineStr">
        <is>
          <t>Second Class</t>
        </is>
      </c>
      <c r="H1504" t="n">
        <v>8</v>
      </c>
      <c r="I1504" s="11" t="n">
        <v>366.46</v>
      </c>
      <c r="J1504" s="12" t="n">
        <v>0.2</v>
      </c>
      <c r="K1504" s="11" t="n">
        <v>2345.34</v>
      </c>
      <c r="L1504" s="11" t="n">
        <v>503.61</v>
      </c>
      <c r="M1504" s="12" t="n">
        <v>0.2147</v>
      </c>
    </row>
    <row r="1505">
      <c r="A1505" t="inlineStr">
        <is>
          <t>ORD-11035</t>
        </is>
      </c>
      <c r="B1505" s="10" t="inlineStr">
        <is>
          <t>2025-06-20</t>
        </is>
      </c>
      <c r="C1505" t="inlineStr">
        <is>
          <t>Customer 115</t>
        </is>
      </c>
      <c r="D1505" t="inlineStr">
        <is>
          <t>East</t>
        </is>
      </c>
      <c r="E1505" t="inlineStr">
        <is>
          <t>Office Supplies</t>
        </is>
      </c>
      <c r="F1505" t="inlineStr">
        <is>
          <t>Binder</t>
        </is>
      </c>
      <c r="G1505" t="inlineStr">
        <is>
          <t>First Class</t>
        </is>
      </c>
      <c r="H1505" t="n">
        <v>6</v>
      </c>
      <c r="I1505" s="11" t="n">
        <v>44.92</v>
      </c>
      <c r="J1505" s="12" t="n">
        <v>0</v>
      </c>
      <c r="K1505" s="11" t="n">
        <v>269.52</v>
      </c>
      <c r="L1505" s="11" t="n">
        <v>82.09</v>
      </c>
      <c r="M1505" s="12" t="n">
        <v>0.3046</v>
      </c>
    </row>
    <row r="1506">
      <c r="A1506" t="inlineStr">
        <is>
          <t>ORD-10585</t>
        </is>
      </c>
      <c r="B1506" s="10" t="inlineStr">
        <is>
          <t>2025-06-20</t>
        </is>
      </c>
      <c r="C1506" t="inlineStr">
        <is>
          <t>Customer 12</t>
        </is>
      </c>
      <c r="D1506" t="inlineStr">
        <is>
          <t>West</t>
        </is>
      </c>
      <c r="E1506" t="inlineStr">
        <is>
          <t>Furniture</t>
        </is>
      </c>
      <c r="F1506" t="inlineStr">
        <is>
          <t>Chair</t>
        </is>
      </c>
      <c r="G1506" t="inlineStr">
        <is>
          <t>Same Day</t>
        </is>
      </c>
      <c r="H1506" t="n">
        <v>5</v>
      </c>
      <c r="I1506" s="11" t="n">
        <v>164.53</v>
      </c>
      <c r="J1506" s="12" t="n">
        <v>0</v>
      </c>
      <c r="K1506" s="11" t="n">
        <v>822.65</v>
      </c>
      <c r="L1506" s="11" t="n">
        <v>370.05</v>
      </c>
      <c r="M1506" s="12" t="n">
        <v>0.4498</v>
      </c>
    </row>
    <row r="1507">
      <c r="A1507" t="inlineStr">
        <is>
          <t>ORD-10823</t>
        </is>
      </c>
      <c r="B1507" s="10" t="inlineStr">
        <is>
          <t>2025-06-21</t>
        </is>
      </c>
      <c r="C1507" t="inlineStr">
        <is>
          <t>Customer 107</t>
        </is>
      </c>
      <c r="D1507" t="inlineStr">
        <is>
          <t>West</t>
        </is>
      </c>
      <c r="E1507" t="inlineStr">
        <is>
          <t>Office Supplies</t>
        </is>
      </c>
      <c r="F1507" t="inlineStr">
        <is>
          <t>Binder</t>
        </is>
      </c>
      <c r="G1507" t="inlineStr">
        <is>
          <t>First Class</t>
        </is>
      </c>
      <c r="H1507" t="n">
        <v>11</v>
      </c>
      <c r="I1507" s="11" t="n">
        <v>328.29</v>
      </c>
      <c r="J1507" s="12" t="n">
        <v>0.15</v>
      </c>
      <c r="K1507" s="11" t="n">
        <v>3069.51</v>
      </c>
      <c r="L1507" s="11" t="n">
        <v>818.97</v>
      </c>
      <c r="M1507" s="12" t="n">
        <v>0.2668</v>
      </c>
    </row>
    <row r="1508">
      <c r="A1508" t="inlineStr">
        <is>
          <t>ORD-11007</t>
        </is>
      </c>
      <c r="B1508" s="10" t="inlineStr">
        <is>
          <t>2025-06-21</t>
        </is>
      </c>
      <c r="C1508" t="inlineStr">
        <is>
          <t>Customer 34</t>
        </is>
      </c>
      <c r="D1508" t="inlineStr">
        <is>
          <t>East</t>
        </is>
      </c>
      <c r="E1508" t="inlineStr">
        <is>
          <t>Technology</t>
        </is>
      </c>
      <c r="F1508" t="inlineStr">
        <is>
          <t>Printer</t>
        </is>
      </c>
      <c r="G1508" t="inlineStr">
        <is>
          <t>Standard Class</t>
        </is>
      </c>
      <c r="H1508" t="n">
        <v>1</v>
      </c>
      <c r="I1508" s="11" t="n">
        <v>982.8099999999999</v>
      </c>
      <c r="J1508" s="12" t="n">
        <v>0</v>
      </c>
      <c r="K1508" s="11" t="n">
        <v>982.8099999999999</v>
      </c>
      <c r="L1508" s="11" t="n">
        <v>374.78</v>
      </c>
      <c r="M1508" s="12" t="n">
        <v>0.3813</v>
      </c>
    </row>
    <row r="1509">
      <c r="A1509" t="inlineStr">
        <is>
          <t>ORD-11800</t>
        </is>
      </c>
      <c r="B1509" s="10" t="inlineStr">
        <is>
          <t>2025-06-21</t>
        </is>
      </c>
      <c r="C1509" t="inlineStr">
        <is>
          <t>Customer 38</t>
        </is>
      </c>
      <c r="D1509" t="inlineStr">
        <is>
          <t>West</t>
        </is>
      </c>
      <c r="E1509" t="inlineStr">
        <is>
          <t>Furniture</t>
        </is>
      </c>
      <c r="F1509" t="inlineStr">
        <is>
          <t>Bookcase</t>
        </is>
      </c>
      <c r="G1509" t="inlineStr">
        <is>
          <t>Second Class</t>
        </is>
      </c>
      <c r="H1509" t="n">
        <v>11</v>
      </c>
      <c r="I1509" s="11" t="n">
        <v>589.85</v>
      </c>
      <c r="J1509" s="12" t="n">
        <v>0</v>
      </c>
      <c r="K1509" s="11" t="n">
        <v>6488.35</v>
      </c>
      <c r="L1509" s="11" t="n">
        <v>2865.94</v>
      </c>
      <c r="M1509" s="12" t="n">
        <v>0.4417</v>
      </c>
    </row>
    <row r="1510">
      <c r="A1510" t="inlineStr">
        <is>
          <t>ORD-10021</t>
        </is>
      </c>
      <c r="B1510" s="10" t="inlineStr">
        <is>
          <t>2025-06-22</t>
        </is>
      </c>
      <c r="C1510" t="inlineStr">
        <is>
          <t>Customer 130</t>
        </is>
      </c>
      <c r="D1510" t="inlineStr">
        <is>
          <t>East</t>
        </is>
      </c>
      <c r="E1510" t="inlineStr">
        <is>
          <t>Furniture</t>
        </is>
      </c>
      <c r="F1510" t="inlineStr">
        <is>
          <t>Bookcase</t>
        </is>
      </c>
      <c r="G1510" t="inlineStr">
        <is>
          <t>Second Class</t>
        </is>
      </c>
      <c r="H1510" t="n">
        <v>5</v>
      </c>
      <c r="I1510" s="11" t="n">
        <v>1159.65</v>
      </c>
      <c r="J1510" s="12" t="n">
        <v>0</v>
      </c>
      <c r="K1510" s="11" t="n">
        <v>5798.25</v>
      </c>
      <c r="L1510" s="11" t="n">
        <v>1005.66</v>
      </c>
      <c r="M1510" s="12" t="n">
        <v>0.1734</v>
      </c>
    </row>
    <row r="1511">
      <c r="A1511" t="inlineStr">
        <is>
          <t>ORD-10266</t>
        </is>
      </c>
      <c r="B1511" s="10" t="inlineStr">
        <is>
          <t>2025-06-22</t>
        </is>
      </c>
      <c r="C1511" t="inlineStr">
        <is>
          <t>Customer 122</t>
        </is>
      </c>
      <c r="D1511" t="inlineStr">
        <is>
          <t>East</t>
        </is>
      </c>
      <c r="E1511" t="inlineStr">
        <is>
          <t>Technology</t>
        </is>
      </c>
      <c r="F1511" t="inlineStr">
        <is>
          <t>Printer</t>
        </is>
      </c>
      <c r="G1511" t="inlineStr">
        <is>
          <t>Same Day</t>
        </is>
      </c>
      <c r="H1511" t="n">
        <v>11</v>
      </c>
      <c r="I1511" s="11" t="n">
        <v>90.86</v>
      </c>
      <c r="J1511" s="12" t="n">
        <v>0</v>
      </c>
      <c r="K1511" s="11" t="n">
        <v>999.46</v>
      </c>
      <c r="L1511" s="11" t="n">
        <v>331.26</v>
      </c>
      <c r="M1511" s="12" t="n">
        <v>0.3314</v>
      </c>
    </row>
    <row r="1512">
      <c r="A1512" t="inlineStr">
        <is>
          <t>ORD-10043</t>
        </is>
      </c>
      <c r="B1512" s="10" t="inlineStr">
        <is>
          <t>2025-06-22</t>
        </is>
      </c>
      <c r="C1512" t="inlineStr">
        <is>
          <t>Customer 41</t>
        </is>
      </c>
      <c r="D1512" t="inlineStr">
        <is>
          <t>North</t>
        </is>
      </c>
      <c r="E1512" t="inlineStr">
        <is>
          <t>Furniture</t>
        </is>
      </c>
      <c r="F1512" t="inlineStr">
        <is>
          <t>Desk</t>
        </is>
      </c>
      <c r="G1512" t="inlineStr">
        <is>
          <t>Standard Class</t>
        </is>
      </c>
      <c r="H1512" t="n">
        <v>2</v>
      </c>
      <c r="I1512" s="11" t="n">
        <v>181.6</v>
      </c>
      <c r="J1512" s="12" t="n">
        <v>0.2</v>
      </c>
      <c r="K1512" s="11" t="n">
        <v>290.56</v>
      </c>
      <c r="L1512" s="11" t="n">
        <v>53.29</v>
      </c>
      <c r="M1512" s="12" t="n">
        <v>0.1834</v>
      </c>
    </row>
    <row r="1513">
      <c r="A1513" t="inlineStr">
        <is>
          <t>ORD-11339</t>
        </is>
      </c>
      <c r="B1513" s="10" t="inlineStr">
        <is>
          <t>2025-06-23</t>
        </is>
      </c>
      <c r="C1513" t="inlineStr">
        <is>
          <t>Customer 131</t>
        </is>
      </c>
      <c r="D1513" t="inlineStr">
        <is>
          <t>East</t>
        </is>
      </c>
      <c r="E1513" t="inlineStr">
        <is>
          <t>Technology</t>
        </is>
      </c>
      <c r="F1513" t="inlineStr">
        <is>
          <t>Monitor</t>
        </is>
      </c>
      <c r="G1513" t="inlineStr">
        <is>
          <t>Same Day</t>
        </is>
      </c>
      <c r="H1513" t="n">
        <v>2</v>
      </c>
      <c r="I1513" s="11" t="n">
        <v>493.57</v>
      </c>
      <c r="J1513" s="12" t="n">
        <v>0</v>
      </c>
      <c r="K1513" s="11" t="n">
        <v>987.14</v>
      </c>
      <c r="L1513" s="11" t="n">
        <v>396.79</v>
      </c>
      <c r="M1513" s="12" t="n">
        <v>0.402</v>
      </c>
    </row>
    <row r="1514">
      <c r="A1514" t="inlineStr">
        <is>
          <t>ORD-10420</t>
        </is>
      </c>
      <c r="B1514" s="10" t="inlineStr">
        <is>
          <t>2025-06-23</t>
        </is>
      </c>
      <c r="C1514" t="inlineStr">
        <is>
          <t>Customer 49</t>
        </is>
      </c>
      <c r="D1514" t="inlineStr">
        <is>
          <t>East</t>
        </is>
      </c>
      <c r="E1514" t="inlineStr">
        <is>
          <t>Office Supplies</t>
        </is>
      </c>
      <c r="F1514" t="inlineStr">
        <is>
          <t>Pens (Box)</t>
        </is>
      </c>
      <c r="G1514" t="inlineStr">
        <is>
          <t>First Class</t>
        </is>
      </c>
      <c r="H1514" t="n">
        <v>11</v>
      </c>
      <c r="I1514" s="11" t="n">
        <v>560.9299999999999</v>
      </c>
      <c r="J1514" s="12" t="n">
        <v>0</v>
      </c>
      <c r="K1514" s="11" t="n">
        <v>6170.23</v>
      </c>
      <c r="L1514" s="11" t="n">
        <v>1330.42</v>
      </c>
      <c r="M1514" s="12" t="n">
        <v>0.2156</v>
      </c>
    </row>
    <row r="1515">
      <c r="A1515" t="inlineStr">
        <is>
          <t>ORD-11068</t>
        </is>
      </c>
      <c r="B1515" s="10" t="inlineStr">
        <is>
          <t>2025-06-23</t>
        </is>
      </c>
      <c r="C1515" t="inlineStr">
        <is>
          <t>Customer 170</t>
        </is>
      </c>
      <c r="D1515" t="inlineStr">
        <is>
          <t>North</t>
        </is>
      </c>
      <c r="E1515" t="inlineStr">
        <is>
          <t>Furniture</t>
        </is>
      </c>
      <c r="F1515" t="inlineStr">
        <is>
          <t>Chair</t>
        </is>
      </c>
      <c r="G1515" t="inlineStr">
        <is>
          <t>Standard Class</t>
        </is>
      </c>
      <c r="H1515" t="n">
        <v>9</v>
      </c>
      <c r="I1515" s="11" t="n">
        <v>1064.99</v>
      </c>
      <c r="J1515" s="12" t="n">
        <v>0.2</v>
      </c>
      <c r="K1515" s="11" t="n">
        <v>7667.93</v>
      </c>
      <c r="L1515" s="11" t="n">
        <v>660.77</v>
      </c>
      <c r="M1515" s="12" t="n">
        <v>0.0862</v>
      </c>
    </row>
    <row r="1516">
      <c r="A1516" t="inlineStr">
        <is>
          <t>ORD-11465</t>
        </is>
      </c>
      <c r="B1516" s="10" t="inlineStr">
        <is>
          <t>2025-06-24</t>
        </is>
      </c>
      <c r="C1516" t="inlineStr">
        <is>
          <t>Customer 174</t>
        </is>
      </c>
      <c r="D1516" t="inlineStr">
        <is>
          <t>East</t>
        </is>
      </c>
      <c r="E1516" t="inlineStr">
        <is>
          <t>Furniture</t>
        </is>
      </c>
      <c r="F1516" t="inlineStr">
        <is>
          <t>Bookcase</t>
        </is>
      </c>
      <c r="G1516" t="inlineStr">
        <is>
          <t>Second Class</t>
        </is>
      </c>
      <c r="H1516" t="n">
        <v>1</v>
      </c>
      <c r="I1516" s="11" t="n">
        <v>716.42</v>
      </c>
      <c r="J1516" s="12" t="n">
        <v>0.1</v>
      </c>
      <c r="K1516" s="11" t="n">
        <v>644.78</v>
      </c>
      <c r="L1516" s="11" t="n">
        <v>244.46</v>
      </c>
      <c r="M1516" s="12" t="n">
        <v>0.3791</v>
      </c>
    </row>
    <row r="1517">
      <c r="A1517" t="inlineStr">
        <is>
          <t>ORD-10656</t>
        </is>
      </c>
      <c r="B1517" s="10" t="inlineStr">
        <is>
          <t>2025-06-25</t>
        </is>
      </c>
      <c r="C1517" t="inlineStr">
        <is>
          <t>Customer 143</t>
        </is>
      </c>
      <c r="D1517" t="inlineStr">
        <is>
          <t>South</t>
        </is>
      </c>
      <c r="E1517" t="inlineStr">
        <is>
          <t>Office Supplies</t>
        </is>
      </c>
      <c r="F1517" t="inlineStr">
        <is>
          <t>Binder</t>
        </is>
      </c>
      <c r="G1517" t="inlineStr">
        <is>
          <t>Same Day</t>
        </is>
      </c>
      <c r="H1517" t="n">
        <v>7</v>
      </c>
      <c r="I1517" s="11" t="n">
        <v>295.12</v>
      </c>
      <c r="J1517" s="12" t="n">
        <v>0</v>
      </c>
      <c r="K1517" s="11" t="n">
        <v>2065.84</v>
      </c>
      <c r="L1517" s="11" t="n">
        <v>556.1</v>
      </c>
      <c r="M1517" s="12" t="n">
        <v>0.2692</v>
      </c>
    </row>
    <row r="1518">
      <c r="A1518" t="inlineStr">
        <is>
          <t>ORD-10837</t>
        </is>
      </c>
      <c r="B1518" s="10" t="inlineStr">
        <is>
          <t>2025-06-26</t>
        </is>
      </c>
      <c r="C1518" t="inlineStr">
        <is>
          <t>Customer 37</t>
        </is>
      </c>
      <c r="D1518" t="inlineStr">
        <is>
          <t>West</t>
        </is>
      </c>
      <c r="E1518" t="inlineStr">
        <is>
          <t>Office Supplies</t>
        </is>
      </c>
      <c r="F1518" t="inlineStr">
        <is>
          <t>Binder</t>
        </is>
      </c>
      <c r="G1518" t="inlineStr">
        <is>
          <t>Standard Class</t>
        </is>
      </c>
      <c r="H1518" t="n">
        <v>9</v>
      </c>
      <c r="I1518" s="11" t="n">
        <v>360.96</v>
      </c>
      <c r="J1518" s="12" t="n">
        <v>0</v>
      </c>
      <c r="K1518" s="11" t="n">
        <v>3248.64</v>
      </c>
      <c r="L1518" s="11" t="n">
        <v>1204.31</v>
      </c>
      <c r="M1518" s="12" t="n">
        <v>0.3707</v>
      </c>
    </row>
    <row r="1519">
      <c r="A1519" t="inlineStr">
        <is>
          <t>ORD-11269</t>
        </is>
      </c>
      <c r="B1519" s="10" t="inlineStr">
        <is>
          <t>2025-06-26</t>
        </is>
      </c>
      <c r="C1519" t="inlineStr">
        <is>
          <t>Customer 164</t>
        </is>
      </c>
      <c r="D1519" t="inlineStr">
        <is>
          <t>South</t>
        </is>
      </c>
      <c r="E1519" t="inlineStr">
        <is>
          <t>Office Supplies</t>
        </is>
      </c>
      <c r="F1519" t="inlineStr">
        <is>
          <t>Pens (Box)</t>
        </is>
      </c>
      <c r="G1519" t="inlineStr">
        <is>
          <t>Standard Class</t>
        </is>
      </c>
      <c r="H1519" t="n">
        <v>4</v>
      </c>
      <c r="I1519" s="11" t="n">
        <v>999.22</v>
      </c>
      <c r="J1519" s="12" t="n">
        <v>0</v>
      </c>
      <c r="K1519" s="11" t="n">
        <v>3996.88</v>
      </c>
      <c r="L1519" s="11" t="n">
        <v>1121.33</v>
      </c>
      <c r="M1519" s="12" t="n">
        <v>0.2806</v>
      </c>
    </row>
    <row r="1520">
      <c r="A1520" t="inlineStr">
        <is>
          <t>ORD-11036</t>
        </is>
      </c>
      <c r="B1520" s="10" t="inlineStr">
        <is>
          <t>2025-06-27</t>
        </is>
      </c>
      <c r="C1520" t="inlineStr">
        <is>
          <t>Customer 99</t>
        </is>
      </c>
      <c r="D1520" t="inlineStr">
        <is>
          <t>East</t>
        </is>
      </c>
      <c r="E1520" t="inlineStr">
        <is>
          <t>Office Supplies</t>
        </is>
      </c>
      <c r="F1520" t="inlineStr">
        <is>
          <t>Stapler</t>
        </is>
      </c>
      <c r="G1520" t="inlineStr">
        <is>
          <t>Same Day</t>
        </is>
      </c>
      <c r="H1520" t="n">
        <v>1</v>
      </c>
      <c r="I1520" s="11" t="n">
        <v>595.24</v>
      </c>
      <c r="J1520" s="12" t="n">
        <v>0</v>
      </c>
      <c r="K1520" s="11" t="n">
        <v>595.24</v>
      </c>
      <c r="L1520" s="11" t="n">
        <v>243.98</v>
      </c>
      <c r="M1520" s="12" t="n">
        <v>0.4099</v>
      </c>
    </row>
    <row r="1521">
      <c r="A1521" t="inlineStr">
        <is>
          <t>ORD-10254</t>
        </is>
      </c>
      <c r="B1521" s="10" t="inlineStr">
        <is>
          <t>2025-06-27</t>
        </is>
      </c>
      <c r="C1521" t="inlineStr">
        <is>
          <t>Customer 89</t>
        </is>
      </c>
      <c r="D1521" t="inlineStr">
        <is>
          <t>West</t>
        </is>
      </c>
      <c r="E1521" t="inlineStr">
        <is>
          <t>Furniture</t>
        </is>
      </c>
      <c r="F1521" t="inlineStr">
        <is>
          <t>Bookcase</t>
        </is>
      </c>
      <c r="G1521" t="inlineStr">
        <is>
          <t>First Class</t>
        </is>
      </c>
      <c r="H1521" t="n">
        <v>5</v>
      </c>
      <c r="I1521" s="11" t="n">
        <v>640.28</v>
      </c>
      <c r="J1521" s="12" t="n">
        <v>0</v>
      </c>
      <c r="K1521" s="11" t="n">
        <v>3201.4</v>
      </c>
      <c r="L1521" s="11" t="n">
        <v>1097</v>
      </c>
      <c r="M1521" s="12" t="n">
        <v>0.3427</v>
      </c>
    </row>
    <row r="1522">
      <c r="A1522" t="inlineStr">
        <is>
          <t>ORD-11918</t>
        </is>
      </c>
      <c r="B1522" s="10" t="inlineStr">
        <is>
          <t>2025-06-28</t>
        </is>
      </c>
      <c r="C1522" t="inlineStr">
        <is>
          <t>Customer 190</t>
        </is>
      </c>
      <c r="D1522" t="inlineStr">
        <is>
          <t>South</t>
        </is>
      </c>
      <c r="E1522" t="inlineStr">
        <is>
          <t>Technology</t>
        </is>
      </c>
      <c r="F1522" t="inlineStr">
        <is>
          <t>Monitor</t>
        </is>
      </c>
      <c r="G1522" t="inlineStr">
        <is>
          <t>Second Class</t>
        </is>
      </c>
      <c r="H1522" t="n">
        <v>10</v>
      </c>
      <c r="I1522" s="11" t="n">
        <v>1128.46</v>
      </c>
      <c r="J1522" s="12" t="n">
        <v>0</v>
      </c>
      <c r="K1522" s="11" t="n">
        <v>11284.6</v>
      </c>
      <c r="L1522" s="11" t="n">
        <v>4870.2</v>
      </c>
      <c r="M1522" s="12" t="n">
        <v>0.4316</v>
      </c>
    </row>
    <row r="1523">
      <c r="A1523" t="inlineStr">
        <is>
          <t>ORD-10667</t>
        </is>
      </c>
      <c r="B1523" s="10" t="inlineStr">
        <is>
          <t>2025-06-28</t>
        </is>
      </c>
      <c r="C1523" t="inlineStr">
        <is>
          <t>Customer 154</t>
        </is>
      </c>
      <c r="D1523" t="inlineStr">
        <is>
          <t>South</t>
        </is>
      </c>
      <c r="E1523" t="inlineStr">
        <is>
          <t>Furniture</t>
        </is>
      </c>
      <c r="F1523" t="inlineStr">
        <is>
          <t>Table Lamp</t>
        </is>
      </c>
      <c r="G1523" t="inlineStr">
        <is>
          <t>Standard Class</t>
        </is>
      </c>
      <c r="H1523" t="n">
        <v>4</v>
      </c>
      <c r="I1523" s="11" t="n">
        <v>1082.84</v>
      </c>
      <c r="J1523" s="12" t="n">
        <v>0.15</v>
      </c>
      <c r="K1523" s="11" t="n">
        <v>3681.66</v>
      </c>
      <c r="L1523" s="11" t="n">
        <v>952.03</v>
      </c>
      <c r="M1523" s="12" t="n">
        <v>0.2586</v>
      </c>
    </row>
    <row r="1524">
      <c r="A1524" t="inlineStr">
        <is>
          <t>ORD-11784</t>
        </is>
      </c>
      <c r="B1524" s="10" t="inlineStr">
        <is>
          <t>2025-06-28</t>
        </is>
      </c>
      <c r="C1524" t="inlineStr">
        <is>
          <t>Customer 140</t>
        </is>
      </c>
      <c r="D1524" t="inlineStr">
        <is>
          <t>South</t>
        </is>
      </c>
      <c r="E1524" t="inlineStr">
        <is>
          <t>Office Supplies</t>
        </is>
      </c>
      <c r="F1524" t="inlineStr">
        <is>
          <t>Paper</t>
        </is>
      </c>
      <c r="G1524" t="inlineStr">
        <is>
          <t>Same Day</t>
        </is>
      </c>
      <c r="H1524" t="n">
        <v>1</v>
      </c>
      <c r="I1524" s="11" t="n">
        <v>243.96</v>
      </c>
      <c r="J1524" s="12" t="n">
        <v>0</v>
      </c>
      <c r="K1524" s="11" t="n">
        <v>243.96</v>
      </c>
      <c r="L1524" s="11" t="n">
        <v>95.78</v>
      </c>
      <c r="M1524" s="12" t="n">
        <v>0.3926</v>
      </c>
    </row>
    <row r="1525">
      <c r="A1525" t="inlineStr">
        <is>
          <t>ORD-11937</t>
        </is>
      </c>
      <c r="B1525" s="10" t="inlineStr">
        <is>
          <t>2025-06-28</t>
        </is>
      </c>
      <c r="C1525" t="inlineStr">
        <is>
          <t>Customer 115</t>
        </is>
      </c>
      <c r="D1525" t="inlineStr">
        <is>
          <t>East</t>
        </is>
      </c>
      <c r="E1525" t="inlineStr">
        <is>
          <t>Furniture</t>
        </is>
      </c>
      <c r="F1525" t="inlineStr">
        <is>
          <t>Chair</t>
        </is>
      </c>
      <c r="G1525" t="inlineStr">
        <is>
          <t>Standard Class</t>
        </is>
      </c>
      <c r="H1525" t="n">
        <v>6</v>
      </c>
      <c r="I1525" s="11" t="n">
        <v>894.86</v>
      </c>
      <c r="J1525" s="12" t="n">
        <v>0</v>
      </c>
      <c r="K1525" s="11" t="n">
        <v>5369.16</v>
      </c>
      <c r="L1525" s="11" t="n">
        <v>2410.51</v>
      </c>
      <c r="M1525" s="12" t="n">
        <v>0.449</v>
      </c>
    </row>
    <row r="1526">
      <c r="A1526" t="inlineStr">
        <is>
          <t>ORD-10856</t>
        </is>
      </c>
      <c r="B1526" s="10" t="inlineStr">
        <is>
          <t>2025-06-29</t>
        </is>
      </c>
      <c r="C1526" t="inlineStr">
        <is>
          <t>Customer 16</t>
        </is>
      </c>
      <c r="D1526" t="inlineStr">
        <is>
          <t>West</t>
        </is>
      </c>
      <c r="E1526" t="inlineStr">
        <is>
          <t>Furniture</t>
        </is>
      </c>
      <c r="F1526" t="inlineStr">
        <is>
          <t>Chair</t>
        </is>
      </c>
      <c r="G1526" t="inlineStr">
        <is>
          <t>Standard Class</t>
        </is>
      </c>
      <c r="H1526" t="n">
        <v>9</v>
      </c>
      <c r="I1526" s="11" t="n">
        <v>505.14</v>
      </c>
      <c r="J1526" s="12" t="n">
        <v>0</v>
      </c>
      <c r="K1526" s="11" t="n">
        <v>4546.26</v>
      </c>
      <c r="L1526" s="11" t="n">
        <v>1432.4</v>
      </c>
      <c r="M1526" s="12" t="n">
        <v>0.3151</v>
      </c>
    </row>
    <row r="1527">
      <c r="A1527" t="inlineStr">
        <is>
          <t>ORD-11835</t>
        </is>
      </c>
      <c r="B1527" s="10" t="inlineStr">
        <is>
          <t>2025-06-29</t>
        </is>
      </c>
      <c r="C1527" t="inlineStr">
        <is>
          <t>Customer 13</t>
        </is>
      </c>
      <c r="D1527" t="inlineStr">
        <is>
          <t>East</t>
        </is>
      </c>
      <c r="E1527" t="inlineStr">
        <is>
          <t>Technology</t>
        </is>
      </c>
      <c r="F1527" t="inlineStr">
        <is>
          <t>Printer</t>
        </is>
      </c>
      <c r="G1527" t="inlineStr">
        <is>
          <t>Standard Class</t>
        </is>
      </c>
      <c r="H1527" t="n">
        <v>4</v>
      </c>
      <c r="I1527" s="11" t="n">
        <v>30.47</v>
      </c>
      <c r="J1527" s="12" t="n">
        <v>0.1</v>
      </c>
      <c r="K1527" s="11" t="n">
        <v>109.69</v>
      </c>
      <c r="L1527" s="11" t="n">
        <v>22.58</v>
      </c>
      <c r="M1527" s="12" t="n">
        <v>0.2059</v>
      </c>
    </row>
    <row r="1528">
      <c r="A1528" t="inlineStr">
        <is>
          <t>ORD-10480</t>
        </is>
      </c>
      <c r="B1528" s="10" t="inlineStr">
        <is>
          <t>2025-06-29</t>
        </is>
      </c>
      <c r="C1528" t="inlineStr">
        <is>
          <t>Customer 39</t>
        </is>
      </c>
      <c r="D1528" t="inlineStr">
        <is>
          <t>South</t>
        </is>
      </c>
      <c r="E1528" t="inlineStr">
        <is>
          <t>Office Supplies</t>
        </is>
      </c>
      <c r="F1528" t="inlineStr">
        <is>
          <t>Paper</t>
        </is>
      </c>
      <c r="G1528" t="inlineStr">
        <is>
          <t>Second Class</t>
        </is>
      </c>
      <c r="H1528" t="n">
        <v>10</v>
      </c>
      <c r="I1528" s="11" t="n">
        <v>428.99</v>
      </c>
      <c r="J1528" s="12" t="n">
        <v>0</v>
      </c>
      <c r="K1528" s="11" t="n">
        <v>4289.9</v>
      </c>
      <c r="L1528" s="11" t="n">
        <v>1723.66</v>
      </c>
      <c r="M1528" s="12" t="n">
        <v>0.4018</v>
      </c>
    </row>
    <row r="1529">
      <c r="A1529" t="inlineStr">
        <is>
          <t>ORD-10589</t>
        </is>
      </c>
      <c r="B1529" s="10" t="inlineStr">
        <is>
          <t>2025-06-29</t>
        </is>
      </c>
      <c r="C1529" t="inlineStr">
        <is>
          <t>Customer 55</t>
        </is>
      </c>
      <c r="D1529" t="inlineStr">
        <is>
          <t>South</t>
        </is>
      </c>
      <c r="E1529" t="inlineStr">
        <is>
          <t>Technology</t>
        </is>
      </c>
      <c r="F1529" t="inlineStr">
        <is>
          <t>Monitor</t>
        </is>
      </c>
      <c r="G1529" t="inlineStr">
        <is>
          <t>Standard Class</t>
        </is>
      </c>
      <c r="H1529" t="n">
        <v>11</v>
      </c>
      <c r="I1529" s="11" t="n">
        <v>252.79</v>
      </c>
      <c r="J1529" s="12" t="n">
        <v>0</v>
      </c>
      <c r="K1529" s="11" t="n">
        <v>2780.69</v>
      </c>
      <c r="L1529" s="11" t="n">
        <v>868.09</v>
      </c>
      <c r="M1529" s="12" t="n">
        <v>0.3122</v>
      </c>
    </row>
    <row r="1530">
      <c r="A1530" t="inlineStr">
        <is>
          <t>ORD-11243</t>
        </is>
      </c>
      <c r="B1530" s="10" t="inlineStr">
        <is>
          <t>2025-06-30</t>
        </is>
      </c>
      <c r="C1530" t="inlineStr">
        <is>
          <t>Customer 59</t>
        </is>
      </c>
      <c r="D1530" t="inlineStr">
        <is>
          <t>East</t>
        </is>
      </c>
      <c r="E1530" t="inlineStr">
        <is>
          <t>Technology</t>
        </is>
      </c>
      <c r="F1530" t="inlineStr">
        <is>
          <t>Laptop</t>
        </is>
      </c>
      <c r="G1530" t="inlineStr">
        <is>
          <t>Second Class</t>
        </is>
      </c>
      <c r="H1530" t="n">
        <v>1</v>
      </c>
      <c r="I1530" s="11" t="n">
        <v>1072.58</v>
      </c>
      <c r="J1530" s="12" t="n">
        <v>0</v>
      </c>
      <c r="K1530" s="11" t="n">
        <v>1072.58</v>
      </c>
      <c r="L1530" s="11" t="n">
        <v>321.68</v>
      </c>
      <c r="M1530" s="12" t="n">
        <v>0.2999</v>
      </c>
    </row>
    <row r="1531">
      <c r="A1531" t="inlineStr">
        <is>
          <t>ORD-10808</t>
        </is>
      </c>
      <c r="B1531" s="10" t="inlineStr">
        <is>
          <t>2025-06-30</t>
        </is>
      </c>
      <c r="C1531" t="inlineStr">
        <is>
          <t>Customer 140</t>
        </is>
      </c>
      <c r="D1531" t="inlineStr">
        <is>
          <t>South</t>
        </is>
      </c>
      <c r="E1531" t="inlineStr">
        <is>
          <t>Office Supplies</t>
        </is>
      </c>
      <c r="F1531" t="inlineStr">
        <is>
          <t>Stapler</t>
        </is>
      </c>
      <c r="G1531" t="inlineStr">
        <is>
          <t>Same Day</t>
        </is>
      </c>
      <c r="H1531" t="n">
        <v>9</v>
      </c>
      <c r="I1531" s="11" t="n">
        <v>801.08</v>
      </c>
      <c r="J1531" s="12" t="n">
        <v>0</v>
      </c>
      <c r="K1531" s="11" t="n">
        <v>7209.72</v>
      </c>
      <c r="L1531" s="11" t="n">
        <v>1300.45</v>
      </c>
      <c r="M1531" s="12" t="n">
        <v>0.1804</v>
      </c>
    </row>
    <row r="1532">
      <c r="A1532" t="inlineStr">
        <is>
          <t>ORD-11179</t>
        </is>
      </c>
      <c r="B1532" s="10" t="inlineStr">
        <is>
          <t>2025-06-30</t>
        </is>
      </c>
      <c r="C1532" t="inlineStr">
        <is>
          <t>Customer 161</t>
        </is>
      </c>
      <c r="D1532" t="inlineStr">
        <is>
          <t>West</t>
        </is>
      </c>
      <c r="E1532" t="inlineStr">
        <is>
          <t>Furniture</t>
        </is>
      </c>
      <c r="F1532" t="inlineStr">
        <is>
          <t>Desk</t>
        </is>
      </c>
      <c r="G1532" t="inlineStr">
        <is>
          <t>First Class</t>
        </is>
      </c>
      <c r="H1532" t="n">
        <v>4</v>
      </c>
      <c r="I1532" s="11" t="n">
        <v>680.7</v>
      </c>
      <c r="J1532" s="12" t="n">
        <v>0</v>
      </c>
      <c r="K1532" s="11" t="n">
        <v>2722.8</v>
      </c>
      <c r="L1532" s="11" t="n">
        <v>463.63</v>
      </c>
      <c r="M1532" s="12" t="n">
        <v>0.1703</v>
      </c>
    </row>
    <row r="1533">
      <c r="A1533" t="inlineStr">
        <is>
          <t>ORD-11628</t>
        </is>
      </c>
      <c r="B1533" s="10" t="inlineStr">
        <is>
          <t>2025-07-01</t>
        </is>
      </c>
      <c r="C1533" t="inlineStr">
        <is>
          <t>Customer 132</t>
        </is>
      </c>
      <c r="D1533" t="inlineStr">
        <is>
          <t>East</t>
        </is>
      </c>
      <c r="E1533" t="inlineStr">
        <is>
          <t>Furniture</t>
        </is>
      </c>
      <c r="F1533" t="inlineStr">
        <is>
          <t>Desk</t>
        </is>
      </c>
      <c r="G1533" t="inlineStr">
        <is>
          <t>Same Day</t>
        </is>
      </c>
      <c r="H1533" t="n">
        <v>1</v>
      </c>
      <c r="I1533" s="11" t="n">
        <v>121.02</v>
      </c>
      <c r="J1533" s="12" t="n">
        <v>0</v>
      </c>
      <c r="K1533" s="11" t="n">
        <v>121.02</v>
      </c>
      <c r="L1533" s="11" t="n">
        <v>39.38</v>
      </c>
      <c r="M1533" s="12" t="n">
        <v>0.3254</v>
      </c>
    </row>
    <row r="1534">
      <c r="A1534" t="inlineStr">
        <is>
          <t>ORD-11515</t>
        </is>
      </c>
      <c r="B1534" s="10" t="inlineStr">
        <is>
          <t>2025-07-01</t>
        </is>
      </c>
      <c r="C1534" t="inlineStr">
        <is>
          <t>Customer 13</t>
        </is>
      </c>
      <c r="D1534" t="inlineStr">
        <is>
          <t>East</t>
        </is>
      </c>
      <c r="E1534" t="inlineStr">
        <is>
          <t>Furniture</t>
        </is>
      </c>
      <c r="F1534" t="inlineStr">
        <is>
          <t>Bookcase</t>
        </is>
      </c>
      <c r="G1534" t="inlineStr">
        <is>
          <t>First Class</t>
        </is>
      </c>
      <c r="H1534" t="n">
        <v>9</v>
      </c>
      <c r="I1534" s="11" t="n">
        <v>689.79</v>
      </c>
      <c r="J1534" s="12" t="n">
        <v>0</v>
      </c>
      <c r="K1534" s="11" t="n">
        <v>6208.11</v>
      </c>
      <c r="L1534" s="11" t="n">
        <v>3027.02</v>
      </c>
      <c r="M1534" s="12" t="n">
        <v>0.4876</v>
      </c>
    </row>
    <row r="1535">
      <c r="A1535" t="inlineStr">
        <is>
          <t>ORD-11604</t>
        </is>
      </c>
      <c r="B1535" s="10" t="inlineStr">
        <is>
          <t>2025-07-01</t>
        </is>
      </c>
      <c r="C1535" t="inlineStr">
        <is>
          <t>Customer 170</t>
        </is>
      </c>
      <c r="D1535" t="inlineStr">
        <is>
          <t>North</t>
        </is>
      </c>
      <c r="E1535" t="inlineStr">
        <is>
          <t>Furniture</t>
        </is>
      </c>
      <c r="F1535" t="inlineStr">
        <is>
          <t>Table Lamp</t>
        </is>
      </c>
      <c r="G1535" t="inlineStr">
        <is>
          <t>Second Class</t>
        </is>
      </c>
      <c r="H1535" t="n">
        <v>7</v>
      </c>
      <c r="I1535" s="11" t="n">
        <v>27.89</v>
      </c>
      <c r="J1535" s="12" t="n">
        <v>0</v>
      </c>
      <c r="K1535" s="11" t="n">
        <v>195.23</v>
      </c>
      <c r="L1535" s="11" t="n">
        <v>36.38</v>
      </c>
      <c r="M1535" s="12" t="n">
        <v>0.1863</v>
      </c>
    </row>
    <row r="1536">
      <c r="A1536" t="inlineStr">
        <is>
          <t>ORD-10867</t>
        </is>
      </c>
      <c r="B1536" s="10" t="inlineStr">
        <is>
          <t>2025-07-01</t>
        </is>
      </c>
      <c r="C1536" t="inlineStr">
        <is>
          <t>Customer 115</t>
        </is>
      </c>
      <c r="D1536" t="inlineStr">
        <is>
          <t>East</t>
        </is>
      </c>
      <c r="E1536" t="inlineStr">
        <is>
          <t>Furniture</t>
        </is>
      </c>
      <c r="F1536" t="inlineStr">
        <is>
          <t>Chair</t>
        </is>
      </c>
      <c r="G1536" t="inlineStr">
        <is>
          <t>Second Class</t>
        </is>
      </c>
      <c r="H1536" t="n">
        <v>4</v>
      </c>
      <c r="I1536" s="11" t="n">
        <v>1064.25</v>
      </c>
      <c r="J1536" s="12" t="n">
        <v>0.1</v>
      </c>
      <c r="K1536" s="11" t="n">
        <v>3831.3</v>
      </c>
      <c r="L1536" s="11" t="n">
        <v>368.29</v>
      </c>
      <c r="M1536" s="12" t="n">
        <v>0.0961</v>
      </c>
    </row>
    <row r="1537">
      <c r="A1537" t="inlineStr">
        <is>
          <t>ORD-10998</t>
        </is>
      </c>
      <c r="B1537" s="10" t="inlineStr">
        <is>
          <t>2025-07-01</t>
        </is>
      </c>
      <c r="C1537" t="inlineStr">
        <is>
          <t>Customer 82</t>
        </is>
      </c>
      <c r="D1537" t="inlineStr">
        <is>
          <t>South</t>
        </is>
      </c>
      <c r="E1537" t="inlineStr">
        <is>
          <t>Office Supplies</t>
        </is>
      </c>
      <c r="F1537" t="inlineStr">
        <is>
          <t>Stapler</t>
        </is>
      </c>
      <c r="G1537" t="inlineStr">
        <is>
          <t>Standard Class</t>
        </is>
      </c>
      <c r="H1537" t="n">
        <v>7</v>
      </c>
      <c r="I1537" s="11" t="n">
        <v>217.77</v>
      </c>
      <c r="J1537" s="12" t="n">
        <v>0</v>
      </c>
      <c r="K1537" s="11" t="n">
        <v>1524.39</v>
      </c>
      <c r="L1537" s="11" t="n">
        <v>624.91</v>
      </c>
      <c r="M1537" s="12" t="n">
        <v>0.4099</v>
      </c>
    </row>
    <row r="1538">
      <c r="A1538" t="inlineStr">
        <is>
          <t>ORD-11224</t>
        </is>
      </c>
      <c r="B1538" s="10" t="inlineStr">
        <is>
          <t>2025-07-02</t>
        </is>
      </c>
      <c r="C1538" t="inlineStr">
        <is>
          <t>Customer 77</t>
        </is>
      </c>
      <c r="D1538" t="inlineStr">
        <is>
          <t>South</t>
        </is>
      </c>
      <c r="E1538" t="inlineStr">
        <is>
          <t>Office Supplies</t>
        </is>
      </c>
      <c r="F1538" t="inlineStr">
        <is>
          <t>Binder</t>
        </is>
      </c>
      <c r="G1538" t="inlineStr">
        <is>
          <t>First Class</t>
        </is>
      </c>
      <c r="H1538" t="n">
        <v>5</v>
      </c>
      <c r="I1538" s="11" t="n">
        <v>1091.1</v>
      </c>
      <c r="J1538" s="12" t="n">
        <v>0.1</v>
      </c>
      <c r="K1538" s="11" t="n">
        <v>4909.95</v>
      </c>
      <c r="L1538" s="11" t="n">
        <v>395.11</v>
      </c>
      <c r="M1538" s="12" t="n">
        <v>0.0805</v>
      </c>
    </row>
    <row r="1539">
      <c r="A1539" t="inlineStr">
        <is>
          <t>ORD-11050</t>
        </is>
      </c>
      <c r="B1539" s="10" t="inlineStr">
        <is>
          <t>2025-07-02</t>
        </is>
      </c>
      <c r="C1539" t="inlineStr">
        <is>
          <t>Customer 97</t>
        </is>
      </c>
      <c r="D1539" t="inlineStr">
        <is>
          <t>North</t>
        </is>
      </c>
      <c r="E1539" t="inlineStr">
        <is>
          <t>Office Supplies</t>
        </is>
      </c>
      <c r="F1539" t="inlineStr">
        <is>
          <t>Stapler</t>
        </is>
      </c>
      <c r="G1539" t="inlineStr">
        <is>
          <t>Second Class</t>
        </is>
      </c>
      <c r="H1539" t="n">
        <v>7</v>
      </c>
      <c r="I1539" s="11" t="n">
        <v>950.25</v>
      </c>
      <c r="J1539" s="12" t="n">
        <v>0</v>
      </c>
      <c r="K1539" s="11" t="n">
        <v>6651.75</v>
      </c>
      <c r="L1539" s="11" t="n">
        <v>2141.52</v>
      </c>
      <c r="M1539" s="12" t="n">
        <v>0.3219</v>
      </c>
    </row>
    <row r="1540">
      <c r="A1540" t="inlineStr">
        <is>
          <t>ORD-10607</t>
        </is>
      </c>
      <c r="B1540" s="10" t="inlineStr">
        <is>
          <t>2025-07-02</t>
        </is>
      </c>
      <c r="C1540" t="inlineStr">
        <is>
          <t>Customer 14</t>
        </is>
      </c>
      <c r="D1540" t="inlineStr">
        <is>
          <t>West</t>
        </is>
      </c>
      <c r="E1540" t="inlineStr">
        <is>
          <t>Office Supplies</t>
        </is>
      </c>
      <c r="F1540" t="inlineStr">
        <is>
          <t>Pens (Box)</t>
        </is>
      </c>
      <c r="G1540" t="inlineStr">
        <is>
          <t>First Class</t>
        </is>
      </c>
      <c r="H1540" t="n">
        <v>5</v>
      </c>
      <c r="I1540" s="11" t="n">
        <v>905.4299999999999</v>
      </c>
      <c r="J1540" s="12" t="n">
        <v>0</v>
      </c>
      <c r="K1540" s="11" t="n">
        <v>4527.15</v>
      </c>
      <c r="L1540" s="11" t="n">
        <v>798.46</v>
      </c>
      <c r="M1540" s="12" t="n">
        <v>0.1764</v>
      </c>
    </row>
    <row r="1541">
      <c r="A1541" t="inlineStr">
        <is>
          <t>ORD-10334</t>
        </is>
      </c>
      <c r="B1541" s="10" t="inlineStr">
        <is>
          <t>2025-07-02</t>
        </is>
      </c>
      <c r="C1541" t="inlineStr">
        <is>
          <t>Customer 19</t>
        </is>
      </c>
      <c r="D1541" t="inlineStr">
        <is>
          <t>West</t>
        </is>
      </c>
      <c r="E1541" t="inlineStr">
        <is>
          <t>Furniture</t>
        </is>
      </c>
      <c r="F1541" t="inlineStr">
        <is>
          <t>Chair</t>
        </is>
      </c>
      <c r="G1541" t="inlineStr">
        <is>
          <t>First Class</t>
        </is>
      </c>
      <c r="H1541" t="n">
        <v>8</v>
      </c>
      <c r="I1541" s="11" t="n">
        <v>611.67</v>
      </c>
      <c r="J1541" s="12" t="n">
        <v>0.1</v>
      </c>
      <c r="K1541" s="11" t="n">
        <v>4404.02</v>
      </c>
      <c r="L1541" s="11" t="n">
        <v>468.4</v>
      </c>
      <c r="M1541" s="12" t="n">
        <v>0.1064</v>
      </c>
    </row>
    <row r="1542">
      <c r="A1542" t="inlineStr">
        <is>
          <t>ORD-10593</t>
        </is>
      </c>
      <c r="B1542" s="10" t="inlineStr">
        <is>
          <t>2025-07-02</t>
        </is>
      </c>
      <c r="C1542" t="inlineStr">
        <is>
          <t>Customer 114</t>
        </is>
      </c>
      <c r="D1542" t="inlineStr">
        <is>
          <t>South</t>
        </is>
      </c>
      <c r="E1542" t="inlineStr">
        <is>
          <t>Office Supplies</t>
        </is>
      </c>
      <c r="F1542" t="inlineStr">
        <is>
          <t>Pens (Box)</t>
        </is>
      </c>
      <c r="G1542" t="inlineStr">
        <is>
          <t>Standard Class</t>
        </is>
      </c>
      <c r="H1542" t="n">
        <v>4</v>
      </c>
      <c r="I1542" s="11" t="n">
        <v>513.38</v>
      </c>
      <c r="J1542" s="12" t="n">
        <v>0.3</v>
      </c>
      <c r="K1542" s="11" t="n">
        <v>1437.46</v>
      </c>
      <c r="L1542" s="11" t="n">
        <v>-268.05</v>
      </c>
      <c r="M1542" s="12" t="n">
        <v>-0.1865</v>
      </c>
    </row>
    <row r="1543">
      <c r="A1543" t="inlineStr">
        <is>
          <t>ORD-10113</t>
        </is>
      </c>
      <c r="B1543" s="10" t="inlineStr">
        <is>
          <t>2025-07-02</t>
        </is>
      </c>
      <c r="C1543" t="inlineStr">
        <is>
          <t>Customer 12</t>
        </is>
      </c>
      <c r="D1543" t="inlineStr">
        <is>
          <t>West</t>
        </is>
      </c>
      <c r="E1543" t="inlineStr">
        <is>
          <t>Office Supplies</t>
        </is>
      </c>
      <c r="F1543" t="inlineStr">
        <is>
          <t>Pens (Box)</t>
        </is>
      </c>
      <c r="G1543" t="inlineStr">
        <is>
          <t>First Class</t>
        </is>
      </c>
      <c r="H1543" t="n">
        <v>3</v>
      </c>
      <c r="I1543" s="11" t="n">
        <v>734.87</v>
      </c>
      <c r="J1543" s="12" t="n">
        <v>0</v>
      </c>
      <c r="K1543" s="11" t="n">
        <v>2204.61</v>
      </c>
      <c r="L1543" s="11" t="n">
        <v>796.62</v>
      </c>
      <c r="M1543" s="12" t="n">
        <v>0.3613</v>
      </c>
    </row>
    <row r="1544">
      <c r="A1544" t="inlineStr">
        <is>
          <t>ORD-11329</t>
        </is>
      </c>
      <c r="B1544" s="10" t="inlineStr">
        <is>
          <t>2025-07-03</t>
        </is>
      </c>
      <c r="C1544" t="inlineStr">
        <is>
          <t>Customer 79</t>
        </is>
      </c>
      <c r="D1544" t="inlineStr">
        <is>
          <t>East</t>
        </is>
      </c>
      <c r="E1544" t="inlineStr">
        <is>
          <t>Technology</t>
        </is>
      </c>
      <c r="F1544" t="inlineStr">
        <is>
          <t>Printer</t>
        </is>
      </c>
      <c r="G1544" t="inlineStr">
        <is>
          <t>Standard Class</t>
        </is>
      </c>
      <c r="H1544" t="n">
        <v>6</v>
      </c>
      <c r="I1544" s="11" t="n">
        <v>917.01</v>
      </c>
      <c r="J1544" s="12" t="n">
        <v>0</v>
      </c>
      <c r="K1544" s="11" t="n">
        <v>5502.06</v>
      </c>
      <c r="L1544" s="11" t="n">
        <v>1716</v>
      </c>
      <c r="M1544" s="12" t="n">
        <v>0.3119</v>
      </c>
    </row>
    <row r="1545">
      <c r="A1545" t="inlineStr">
        <is>
          <t>ORD-10841</t>
        </is>
      </c>
      <c r="B1545" s="10" t="inlineStr">
        <is>
          <t>2025-07-05</t>
        </is>
      </c>
      <c r="C1545" t="inlineStr">
        <is>
          <t>Customer 33</t>
        </is>
      </c>
      <c r="D1545" t="inlineStr">
        <is>
          <t>North</t>
        </is>
      </c>
      <c r="E1545" t="inlineStr">
        <is>
          <t>Office Supplies</t>
        </is>
      </c>
      <c r="F1545" t="inlineStr">
        <is>
          <t>Binder</t>
        </is>
      </c>
      <c r="G1545" t="inlineStr">
        <is>
          <t>First Class</t>
        </is>
      </c>
      <c r="H1545" t="n">
        <v>5</v>
      </c>
      <c r="I1545" s="11" t="n">
        <v>125.93</v>
      </c>
      <c r="J1545" s="12" t="n">
        <v>0</v>
      </c>
      <c r="K1545" s="11" t="n">
        <v>629.65</v>
      </c>
      <c r="L1545" s="11" t="n">
        <v>109.27</v>
      </c>
      <c r="M1545" s="12" t="n">
        <v>0.1735</v>
      </c>
    </row>
    <row r="1546">
      <c r="A1546" t="inlineStr">
        <is>
          <t>ORD-11244</t>
        </is>
      </c>
      <c r="B1546" s="10" t="inlineStr">
        <is>
          <t>2025-07-05</t>
        </is>
      </c>
      <c r="C1546" t="inlineStr">
        <is>
          <t>Customer 39</t>
        </is>
      </c>
      <c r="D1546" t="inlineStr">
        <is>
          <t>South</t>
        </is>
      </c>
      <c r="E1546" t="inlineStr">
        <is>
          <t>Office Supplies</t>
        </is>
      </c>
      <c r="F1546" t="inlineStr">
        <is>
          <t>Binder</t>
        </is>
      </c>
      <c r="G1546" t="inlineStr">
        <is>
          <t>Same Day</t>
        </is>
      </c>
      <c r="H1546" t="n">
        <v>11</v>
      </c>
      <c r="I1546" s="11" t="n">
        <v>613.9299999999999</v>
      </c>
      <c r="J1546" s="12" t="n">
        <v>0</v>
      </c>
      <c r="K1546" s="11" t="n">
        <v>6753.23</v>
      </c>
      <c r="L1546" s="11" t="n">
        <v>2433.3</v>
      </c>
      <c r="M1546" s="12" t="n">
        <v>0.3603</v>
      </c>
    </row>
    <row r="1547">
      <c r="A1547" t="inlineStr">
        <is>
          <t>ORD-10841</t>
        </is>
      </c>
      <c r="B1547" s="10" t="inlineStr">
        <is>
          <t>2025-07-05</t>
        </is>
      </c>
      <c r="C1547" t="inlineStr">
        <is>
          <t>Customer 33</t>
        </is>
      </c>
      <c r="D1547" t="inlineStr">
        <is>
          <t>North</t>
        </is>
      </c>
      <c r="E1547" t="inlineStr">
        <is>
          <t>Office Supplies</t>
        </is>
      </c>
      <c r="F1547" t="inlineStr">
        <is>
          <t>Binder</t>
        </is>
      </c>
      <c r="G1547" t="inlineStr">
        <is>
          <t>First Class</t>
        </is>
      </c>
      <c r="H1547" t="n">
        <v>5</v>
      </c>
      <c r="I1547" s="11" t="n">
        <v>125.93</v>
      </c>
      <c r="J1547" s="12" t="n">
        <v>0</v>
      </c>
      <c r="K1547" s="11" t="n">
        <v>629.65</v>
      </c>
      <c r="L1547" s="11" t="n">
        <v>109.27</v>
      </c>
      <c r="M1547" s="12" t="n">
        <v>0.1735</v>
      </c>
    </row>
    <row r="1548">
      <c r="A1548" t="inlineStr">
        <is>
          <t>ORD-11521</t>
        </is>
      </c>
      <c r="B1548" s="10" t="inlineStr">
        <is>
          <t>2025-07-05</t>
        </is>
      </c>
      <c r="C1548" t="inlineStr">
        <is>
          <t>Customer 158</t>
        </is>
      </c>
      <c r="D1548" t="inlineStr">
        <is>
          <t>East</t>
        </is>
      </c>
      <c r="E1548" t="inlineStr">
        <is>
          <t>Furniture</t>
        </is>
      </c>
      <c r="F1548" t="inlineStr">
        <is>
          <t>Bookcase</t>
        </is>
      </c>
      <c r="G1548" t="inlineStr">
        <is>
          <t>First Class</t>
        </is>
      </c>
      <c r="H1548" t="n">
        <v>1</v>
      </c>
      <c r="I1548" s="11" t="n">
        <v>1183.33</v>
      </c>
      <c r="J1548" s="12" t="n">
        <v>0</v>
      </c>
      <c r="K1548" s="11" t="n">
        <v>1183.33</v>
      </c>
      <c r="L1548" s="11" t="n">
        <v>340.02</v>
      </c>
      <c r="M1548" s="12" t="n">
        <v>0.2873</v>
      </c>
    </row>
    <row r="1549">
      <c r="A1549" t="inlineStr">
        <is>
          <t>ORD-11739</t>
        </is>
      </c>
      <c r="B1549" s="10" t="inlineStr">
        <is>
          <t>2025-07-07</t>
        </is>
      </c>
      <c r="C1549" t="inlineStr">
        <is>
          <t>Customer 90</t>
        </is>
      </c>
      <c r="D1549" t="inlineStr">
        <is>
          <t>West</t>
        </is>
      </c>
      <c r="E1549" t="inlineStr">
        <is>
          <t>Office Supplies</t>
        </is>
      </c>
      <c r="F1549" t="inlineStr">
        <is>
          <t>Binder</t>
        </is>
      </c>
      <c r="G1549" t="inlineStr">
        <is>
          <t>Second Class</t>
        </is>
      </c>
      <c r="H1549" t="n">
        <v>2</v>
      </c>
      <c r="I1549" s="11" t="n">
        <v>1173.62</v>
      </c>
      <c r="J1549" s="12" t="n">
        <v>0.1</v>
      </c>
      <c r="K1549" s="11" t="n">
        <v>2112.52</v>
      </c>
      <c r="L1549" s="11" t="n">
        <v>468.39</v>
      </c>
      <c r="M1549" s="12" t="n">
        <v>0.2217</v>
      </c>
    </row>
    <row r="1550">
      <c r="A1550" t="inlineStr">
        <is>
          <t>ORD-10114</t>
        </is>
      </c>
      <c r="B1550" s="10" t="inlineStr">
        <is>
          <t>2025-07-07</t>
        </is>
      </c>
      <c r="C1550" t="inlineStr">
        <is>
          <t>Customer 94</t>
        </is>
      </c>
      <c r="D1550" t="inlineStr">
        <is>
          <t>South</t>
        </is>
      </c>
      <c r="E1550" t="inlineStr">
        <is>
          <t>Office Supplies</t>
        </is>
      </c>
      <c r="F1550" t="inlineStr">
        <is>
          <t>Stapler</t>
        </is>
      </c>
      <c r="G1550" t="inlineStr">
        <is>
          <t>Standard Class</t>
        </is>
      </c>
      <c r="H1550" t="n">
        <v>3</v>
      </c>
      <c r="I1550" s="11" t="n">
        <v>1180.18</v>
      </c>
      <c r="J1550" s="12" t="n">
        <v>0</v>
      </c>
      <c r="K1550" s="11" t="n">
        <v>3540.54</v>
      </c>
      <c r="L1550" s="11" t="n">
        <v>1132.6</v>
      </c>
      <c r="M1550" s="12" t="n">
        <v>0.3199</v>
      </c>
    </row>
    <row r="1551">
      <c r="A1551" t="inlineStr">
        <is>
          <t>ORD-10910</t>
        </is>
      </c>
      <c r="B1551" s="10" t="inlineStr">
        <is>
          <t>2025-07-08</t>
        </is>
      </c>
      <c r="C1551" t="inlineStr">
        <is>
          <t>Customer 136</t>
        </is>
      </c>
      <c r="D1551" t="inlineStr">
        <is>
          <t>South</t>
        </is>
      </c>
      <c r="E1551" t="inlineStr">
        <is>
          <t>Furniture</t>
        </is>
      </c>
      <c r="F1551" t="inlineStr">
        <is>
          <t>Table Lamp</t>
        </is>
      </c>
      <c r="G1551" t="inlineStr">
        <is>
          <t>Standard Class</t>
        </is>
      </c>
      <c r="H1551" t="n">
        <v>5</v>
      </c>
      <c r="I1551" s="11" t="n">
        <v>845.37</v>
      </c>
      <c r="J1551" s="12" t="n">
        <v>0</v>
      </c>
      <c r="K1551" s="11" t="n">
        <v>4226.85</v>
      </c>
      <c r="L1551" s="11" t="n">
        <v>1187.17</v>
      </c>
      <c r="M1551" s="12" t="n">
        <v>0.2809</v>
      </c>
    </row>
    <row r="1552">
      <c r="A1552" t="inlineStr">
        <is>
          <t>ORD-11374</t>
        </is>
      </c>
      <c r="B1552" s="10" t="inlineStr">
        <is>
          <t>2025-07-09</t>
        </is>
      </c>
      <c r="C1552" t="inlineStr">
        <is>
          <t>Customer 157</t>
        </is>
      </c>
      <c r="D1552" t="inlineStr">
        <is>
          <t>North</t>
        </is>
      </c>
      <c r="E1552" t="inlineStr">
        <is>
          <t>Furniture</t>
        </is>
      </c>
      <c r="F1552" t="inlineStr">
        <is>
          <t>Bookcase</t>
        </is>
      </c>
      <c r="G1552" t="inlineStr">
        <is>
          <t>Second Class</t>
        </is>
      </c>
      <c r="H1552" t="n">
        <v>3</v>
      </c>
      <c r="I1552" s="11" t="n">
        <v>993.24</v>
      </c>
      <c r="J1552" s="12" t="n">
        <v>0</v>
      </c>
      <c r="K1552" s="11" t="n">
        <v>2979.72</v>
      </c>
      <c r="L1552" s="11" t="n">
        <v>1407.33</v>
      </c>
      <c r="M1552" s="12" t="n">
        <v>0.4723</v>
      </c>
    </row>
    <row r="1553">
      <c r="A1553" t="inlineStr">
        <is>
          <t>ORD-10878</t>
        </is>
      </c>
      <c r="B1553" s="10" t="inlineStr">
        <is>
          <t>2025-07-09</t>
        </is>
      </c>
      <c r="C1553" t="inlineStr">
        <is>
          <t>Customer 188</t>
        </is>
      </c>
      <c r="D1553" t="inlineStr">
        <is>
          <t>South</t>
        </is>
      </c>
      <c r="E1553" t="inlineStr">
        <is>
          <t>Office Supplies</t>
        </is>
      </c>
      <c r="F1553" t="inlineStr">
        <is>
          <t>Stapler</t>
        </is>
      </c>
      <c r="G1553" t="inlineStr">
        <is>
          <t>First Class</t>
        </is>
      </c>
      <c r="H1553" t="n">
        <v>8</v>
      </c>
      <c r="I1553" s="11" t="n">
        <v>679.4</v>
      </c>
      <c r="J1553" s="12" t="n">
        <v>0</v>
      </c>
      <c r="K1553" s="11" t="n">
        <v>5435.2</v>
      </c>
      <c r="L1553" s="11" t="n">
        <v>1334.8</v>
      </c>
      <c r="M1553" s="12" t="n">
        <v>0.2456</v>
      </c>
    </row>
    <row r="1554">
      <c r="A1554" t="inlineStr">
        <is>
          <t>ORD-10547</t>
        </is>
      </c>
      <c r="B1554" s="10" t="inlineStr">
        <is>
          <t>2025-07-10</t>
        </is>
      </c>
      <c r="C1554" t="inlineStr">
        <is>
          <t>Customer 158</t>
        </is>
      </c>
      <c r="D1554" t="inlineStr">
        <is>
          <t>East</t>
        </is>
      </c>
      <c r="E1554" t="inlineStr">
        <is>
          <t>Office Supplies</t>
        </is>
      </c>
      <c r="F1554" t="inlineStr">
        <is>
          <t>Pens (Box)</t>
        </is>
      </c>
      <c r="G1554" t="inlineStr">
        <is>
          <t>Same Day</t>
        </is>
      </c>
      <c r="H1554" t="n">
        <v>4</v>
      </c>
      <c r="I1554" s="11" t="n">
        <v>256.18</v>
      </c>
      <c r="J1554" s="12" t="n">
        <v>0</v>
      </c>
      <c r="K1554" s="11" t="n">
        <v>1024.72</v>
      </c>
      <c r="L1554" s="11" t="n">
        <v>439.5</v>
      </c>
      <c r="M1554" s="12" t="n">
        <v>0.4289</v>
      </c>
    </row>
    <row r="1555">
      <c r="A1555" t="inlineStr">
        <is>
          <t>ORD-11138</t>
        </is>
      </c>
      <c r="B1555" s="10" t="inlineStr">
        <is>
          <t>2025-07-10</t>
        </is>
      </c>
      <c r="C1555" t="inlineStr">
        <is>
          <t>Customer 195</t>
        </is>
      </c>
      <c r="D1555" t="inlineStr">
        <is>
          <t>West</t>
        </is>
      </c>
      <c r="E1555" t="inlineStr">
        <is>
          <t>Technology</t>
        </is>
      </c>
      <c r="F1555" t="inlineStr">
        <is>
          <t>Wireless Mouse</t>
        </is>
      </c>
      <c r="G1555" t="inlineStr">
        <is>
          <t>Second Class</t>
        </is>
      </c>
      <c r="H1555" t="n">
        <v>3</v>
      </c>
      <c r="I1555" s="11" t="n">
        <v>134.21</v>
      </c>
      <c r="J1555" s="12" t="n">
        <v>0.15</v>
      </c>
      <c r="K1555" s="11" t="n">
        <v>342.24</v>
      </c>
      <c r="L1555" s="11" t="n">
        <v>36.11</v>
      </c>
      <c r="M1555" s="12" t="n">
        <v>0.1055</v>
      </c>
    </row>
    <row r="1556">
      <c r="A1556" t="inlineStr">
        <is>
          <t>ORD-10488</t>
        </is>
      </c>
      <c r="B1556" s="10" t="inlineStr">
        <is>
          <t>2025-07-11</t>
        </is>
      </c>
      <c r="C1556" t="inlineStr">
        <is>
          <t>Customer 37</t>
        </is>
      </c>
      <c r="D1556" t="inlineStr">
        <is>
          <t>West</t>
        </is>
      </c>
      <c r="E1556" t="inlineStr">
        <is>
          <t>Technology</t>
        </is>
      </c>
      <c r="F1556" t="inlineStr">
        <is>
          <t>Laptop</t>
        </is>
      </c>
      <c r="G1556" t="inlineStr">
        <is>
          <t>First Class</t>
        </is>
      </c>
      <c r="H1556" t="n">
        <v>11</v>
      </c>
      <c r="I1556" s="11" t="n">
        <v>1142.09</v>
      </c>
      <c r="J1556" s="12" t="n">
        <v>0</v>
      </c>
      <c r="K1556" s="11" t="n">
        <v>12562.99</v>
      </c>
      <c r="L1556" s="11" t="n">
        <v>2061.73</v>
      </c>
      <c r="M1556" s="12" t="n">
        <v>0.1641</v>
      </c>
    </row>
    <row r="1557">
      <c r="A1557" t="inlineStr">
        <is>
          <t>ORD-11426</t>
        </is>
      </c>
      <c r="B1557" s="10" t="inlineStr">
        <is>
          <t>2025-07-11</t>
        </is>
      </c>
      <c r="C1557" t="inlineStr">
        <is>
          <t>Customer 11</t>
        </is>
      </c>
      <c r="D1557" t="inlineStr">
        <is>
          <t>East</t>
        </is>
      </c>
      <c r="E1557" t="inlineStr">
        <is>
          <t>Technology</t>
        </is>
      </c>
      <c r="F1557" t="inlineStr">
        <is>
          <t>Printer</t>
        </is>
      </c>
      <c r="G1557" t="inlineStr">
        <is>
          <t>Same Day</t>
        </is>
      </c>
      <c r="H1557" t="n">
        <v>1</v>
      </c>
      <c r="I1557" s="11" t="n">
        <v>318.77</v>
      </c>
      <c r="J1557" s="12" t="n">
        <v>0.1</v>
      </c>
      <c r="K1557" s="11" t="n">
        <v>286.89</v>
      </c>
      <c r="L1557" s="11" t="n">
        <v>36.4</v>
      </c>
      <c r="M1557" s="12" t="n">
        <v>0.1269</v>
      </c>
    </row>
    <row r="1558">
      <c r="A1558" t="inlineStr">
        <is>
          <t>ORD-10325</t>
        </is>
      </c>
      <c r="B1558" s="10" t="inlineStr">
        <is>
          <t>2025-07-11</t>
        </is>
      </c>
      <c r="C1558" t="inlineStr">
        <is>
          <t>Customer 182</t>
        </is>
      </c>
      <c r="D1558" t="inlineStr">
        <is>
          <t>North</t>
        </is>
      </c>
      <c r="E1558" t="inlineStr">
        <is>
          <t>Office Supplies</t>
        </is>
      </c>
      <c r="F1558" t="inlineStr">
        <is>
          <t>Binder</t>
        </is>
      </c>
      <c r="G1558" t="inlineStr">
        <is>
          <t>Second Class</t>
        </is>
      </c>
      <c r="H1558" t="n">
        <v>5</v>
      </c>
      <c r="I1558" s="11" t="n">
        <v>191.77</v>
      </c>
      <c r="J1558" s="12" t="n">
        <v>0</v>
      </c>
      <c r="K1558" s="11" t="n">
        <v>958.85</v>
      </c>
      <c r="L1558" s="11" t="n">
        <v>143.91</v>
      </c>
      <c r="M1558" s="12" t="n">
        <v>0.1501</v>
      </c>
    </row>
    <row r="1559">
      <c r="A1559" t="inlineStr">
        <is>
          <t>ORD-10819</t>
        </is>
      </c>
      <c r="B1559" s="10" t="inlineStr">
        <is>
          <t>2025-07-11</t>
        </is>
      </c>
      <c r="C1559" t="inlineStr">
        <is>
          <t>Customer 173</t>
        </is>
      </c>
      <c r="D1559" t="inlineStr">
        <is>
          <t>West</t>
        </is>
      </c>
      <c r="E1559" t="inlineStr">
        <is>
          <t>Office Supplies</t>
        </is>
      </c>
      <c r="F1559" t="inlineStr">
        <is>
          <t>Binder</t>
        </is>
      </c>
      <c r="G1559" t="inlineStr">
        <is>
          <t>Standard Class</t>
        </is>
      </c>
      <c r="H1559" t="n">
        <v>2</v>
      </c>
      <c r="I1559" s="11" t="n">
        <v>427.32</v>
      </c>
      <c r="J1559" s="12" t="n">
        <v>0</v>
      </c>
      <c r="K1559" s="11" t="n">
        <v>854.64</v>
      </c>
      <c r="L1559" s="11" t="n">
        <v>280.92</v>
      </c>
      <c r="M1559" s="12" t="n">
        <v>0.3287</v>
      </c>
    </row>
    <row r="1560">
      <c r="A1560" t="inlineStr">
        <is>
          <t>ORD-11415</t>
        </is>
      </c>
      <c r="B1560" s="10" t="inlineStr">
        <is>
          <t>2025-07-12</t>
        </is>
      </c>
      <c r="C1560" t="inlineStr">
        <is>
          <t>Customer 119</t>
        </is>
      </c>
      <c r="D1560" t="inlineStr">
        <is>
          <t>North</t>
        </is>
      </c>
      <c r="E1560" t="inlineStr">
        <is>
          <t>Office Supplies</t>
        </is>
      </c>
      <c r="F1560" t="inlineStr">
        <is>
          <t>Pens (Box)</t>
        </is>
      </c>
      <c r="G1560" t="inlineStr">
        <is>
          <t>First Class</t>
        </is>
      </c>
      <c r="H1560" t="n">
        <v>8</v>
      </c>
      <c r="I1560" s="11" t="n">
        <v>103.53</v>
      </c>
      <c r="J1560" s="12" t="n">
        <v>0</v>
      </c>
      <c r="K1560" s="11" t="n">
        <v>828.24</v>
      </c>
      <c r="L1560" s="11" t="n">
        <v>300.4</v>
      </c>
      <c r="M1560" s="12" t="n">
        <v>0.3627</v>
      </c>
    </row>
    <row r="1561">
      <c r="A1561" t="inlineStr">
        <is>
          <t>ORD-10358</t>
        </is>
      </c>
      <c r="B1561" s="10" t="inlineStr">
        <is>
          <t>2025-07-12</t>
        </is>
      </c>
      <c r="C1561" t="inlineStr">
        <is>
          <t>Customer 21</t>
        </is>
      </c>
      <c r="D1561" t="inlineStr">
        <is>
          <t>East</t>
        </is>
      </c>
      <c r="E1561" t="inlineStr">
        <is>
          <t>Furniture</t>
        </is>
      </c>
      <c r="F1561" t="inlineStr">
        <is>
          <t>Chair</t>
        </is>
      </c>
      <c r="G1561" t="inlineStr">
        <is>
          <t>Standard Class</t>
        </is>
      </c>
      <c r="H1561" t="n">
        <v>9</v>
      </c>
      <c r="I1561" s="11" t="n">
        <v>120.84</v>
      </c>
      <c r="J1561" s="12" t="n">
        <v>0.2</v>
      </c>
      <c r="K1561" s="11" t="n">
        <v>870.05</v>
      </c>
      <c r="L1561" s="11" t="n">
        <v>50.03</v>
      </c>
      <c r="M1561" s="12" t="n">
        <v>0.0575</v>
      </c>
    </row>
    <row r="1562">
      <c r="A1562" t="inlineStr">
        <is>
          <t>ORD-10654</t>
        </is>
      </c>
      <c r="B1562" s="10" t="inlineStr">
        <is>
          <t>2025-07-13</t>
        </is>
      </c>
      <c r="C1562" t="inlineStr">
        <is>
          <t>Customer 96</t>
        </is>
      </c>
      <c r="D1562" t="inlineStr">
        <is>
          <t>South</t>
        </is>
      </c>
      <c r="E1562" t="inlineStr">
        <is>
          <t>Technology</t>
        </is>
      </c>
      <c r="F1562" t="inlineStr">
        <is>
          <t>Wireless Mouse</t>
        </is>
      </c>
      <c r="G1562" t="inlineStr">
        <is>
          <t>Standard Class</t>
        </is>
      </c>
      <c r="H1562" t="n">
        <v>11</v>
      </c>
      <c r="I1562" s="11" t="n">
        <v>1053.22</v>
      </c>
      <c r="J1562" s="12" t="n">
        <v>0</v>
      </c>
      <c r="K1562" s="11" t="n">
        <v>11585.42</v>
      </c>
      <c r="L1562" s="11" t="n">
        <v>2417.74</v>
      </c>
      <c r="M1562" s="12" t="n">
        <v>0.2087</v>
      </c>
    </row>
    <row r="1563">
      <c r="A1563" t="inlineStr">
        <is>
          <t>ORD-11749</t>
        </is>
      </c>
      <c r="B1563" s="10" t="inlineStr">
        <is>
          <t>2025-07-13</t>
        </is>
      </c>
      <c r="C1563" t="inlineStr">
        <is>
          <t>Customer 159</t>
        </is>
      </c>
      <c r="D1563" t="inlineStr">
        <is>
          <t>East</t>
        </is>
      </c>
      <c r="E1563" t="inlineStr">
        <is>
          <t>Technology</t>
        </is>
      </c>
      <c r="F1563" t="inlineStr">
        <is>
          <t>Printer</t>
        </is>
      </c>
      <c r="G1563" t="inlineStr">
        <is>
          <t>Standard Class</t>
        </is>
      </c>
      <c r="H1563" t="n">
        <v>4</v>
      </c>
      <c r="I1563" s="11" t="n">
        <v>1049.07</v>
      </c>
      <c r="J1563" s="12" t="n">
        <v>0.1</v>
      </c>
      <c r="K1563" s="11" t="n">
        <v>3776.65</v>
      </c>
      <c r="L1563" s="11" t="n">
        <v>1043.6</v>
      </c>
      <c r="M1563" s="12" t="n">
        <v>0.2763</v>
      </c>
    </row>
    <row r="1564">
      <c r="A1564" t="inlineStr">
        <is>
          <t>ORD-11721</t>
        </is>
      </c>
      <c r="B1564" s="10" t="inlineStr">
        <is>
          <t>2025-07-13</t>
        </is>
      </c>
      <c r="C1564" t="inlineStr">
        <is>
          <t>Customer 36</t>
        </is>
      </c>
      <c r="D1564" t="inlineStr">
        <is>
          <t>North</t>
        </is>
      </c>
      <c r="E1564" t="inlineStr">
        <is>
          <t>Furniture</t>
        </is>
      </c>
      <c r="F1564" t="inlineStr">
        <is>
          <t>Desk</t>
        </is>
      </c>
      <c r="G1564" t="inlineStr">
        <is>
          <t>Second Class</t>
        </is>
      </c>
      <c r="H1564" t="n">
        <v>7</v>
      </c>
      <c r="I1564" s="11" t="n">
        <v>604.53</v>
      </c>
      <c r="J1564" s="12" t="n">
        <v>0</v>
      </c>
      <c r="K1564" s="11" t="n">
        <v>4231.71</v>
      </c>
      <c r="L1564" s="11" t="n">
        <v>838.05</v>
      </c>
      <c r="M1564" s="12" t="n">
        <v>0.198</v>
      </c>
    </row>
    <row r="1565">
      <c r="A1565" t="inlineStr">
        <is>
          <t>ORD-10931</t>
        </is>
      </c>
      <c r="B1565" s="10" t="inlineStr">
        <is>
          <t>2025-07-13</t>
        </is>
      </c>
      <c r="C1565" t="inlineStr">
        <is>
          <t>Customer 124</t>
        </is>
      </c>
      <c r="D1565" t="inlineStr">
        <is>
          <t>South</t>
        </is>
      </c>
      <c r="E1565" t="inlineStr">
        <is>
          <t>Technology</t>
        </is>
      </c>
      <c r="F1565" t="inlineStr">
        <is>
          <t>Monitor</t>
        </is>
      </c>
      <c r="G1565" t="inlineStr">
        <is>
          <t>Second Class</t>
        </is>
      </c>
      <c r="H1565" t="n">
        <v>9</v>
      </c>
      <c r="I1565" s="11" t="n">
        <v>395</v>
      </c>
      <c r="J1565" s="12" t="n">
        <v>0.2</v>
      </c>
      <c r="K1565" s="11" t="n">
        <v>2844</v>
      </c>
      <c r="L1565" s="11" t="n">
        <v>154.21</v>
      </c>
      <c r="M1565" s="12" t="n">
        <v>0.0542</v>
      </c>
    </row>
    <row r="1566">
      <c r="A1566" t="inlineStr">
        <is>
          <t>ORD-10347</t>
        </is>
      </c>
      <c r="B1566" s="10" t="inlineStr">
        <is>
          <t>2025-07-14</t>
        </is>
      </c>
      <c r="C1566" t="inlineStr">
        <is>
          <t>Customer 106</t>
        </is>
      </c>
      <c r="D1566" t="inlineStr">
        <is>
          <t>West</t>
        </is>
      </c>
      <c r="E1566" t="inlineStr">
        <is>
          <t>Furniture</t>
        </is>
      </c>
      <c r="F1566" t="inlineStr">
        <is>
          <t>Table Lamp</t>
        </is>
      </c>
      <c r="G1566" t="inlineStr">
        <is>
          <t>Second Class</t>
        </is>
      </c>
      <c r="H1566" t="n">
        <v>1</v>
      </c>
      <c r="I1566" s="11" t="n">
        <v>1025.09</v>
      </c>
      <c r="J1566" s="12" t="n">
        <v>0</v>
      </c>
      <c r="K1566" s="11" t="n">
        <v>1025.09</v>
      </c>
      <c r="L1566" s="11" t="n">
        <v>315.83</v>
      </c>
      <c r="M1566" s="12" t="n">
        <v>0.3081</v>
      </c>
    </row>
    <row r="1567">
      <c r="A1567" t="inlineStr">
        <is>
          <t>ORD-11679</t>
        </is>
      </c>
      <c r="B1567" s="10" t="inlineStr">
        <is>
          <t>2025-07-15</t>
        </is>
      </c>
      <c r="C1567" t="inlineStr">
        <is>
          <t>Customer 106</t>
        </is>
      </c>
      <c r="D1567" t="inlineStr">
        <is>
          <t>West</t>
        </is>
      </c>
      <c r="E1567" t="inlineStr">
        <is>
          <t>Technology</t>
        </is>
      </c>
      <c r="F1567" t="inlineStr">
        <is>
          <t>Wireless Mouse</t>
        </is>
      </c>
      <c r="G1567" t="inlineStr">
        <is>
          <t>Standard Class</t>
        </is>
      </c>
      <c r="H1567" t="n">
        <v>6</v>
      </c>
      <c r="I1567" s="11" t="n">
        <v>1061.42</v>
      </c>
      <c r="J1567" s="12" t="n">
        <v>0</v>
      </c>
      <c r="K1567" s="11" t="n">
        <v>4245.68</v>
      </c>
      <c r="L1567" s="11" t="n">
        <v>855.4</v>
      </c>
      <c r="M1567" s="12" t="n">
        <v>0.2015</v>
      </c>
    </row>
    <row r="1568">
      <c r="A1568" t="inlineStr">
        <is>
          <t>ORD-10777</t>
        </is>
      </c>
      <c r="B1568" s="10" t="inlineStr">
        <is>
          <t>2025-07-15</t>
        </is>
      </c>
      <c r="C1568" t="inlineStr">
        <is>
          <t>Customer 20</t>
        </is>
      </c>
      <c r="D1568" t="inlineStr">
        <is>
          <t>South</t>
        </is>
      </c>
      <c r="E1568" t="inlineStr">
        <is>
          <t>Furniture</t>
        </is>
      </c>
      <c r="F1568" t="inlineStr">
        <is>
          <t>Desk</t>
        </is>
      </c>
      <c r="G1568" t="inlineStr">
        <is>
          <t>Standard Class</t>
        </is>
      </c>
      <c r="H1568" t="n">
        <v>10</v>
      </c>
      <c r="I1568" s="11" t="n">
        <v>1075.6</v>
      </c>
      <c r="J1568" s="12" t="n">
        <v>0</v>
      </c>
      <c r="K1568" s="11" t="n">
        <v>10756</v>
      </c>
      <c r="L1568" s="11" t="n">
        <v>2011.36</v>
      </c>
      <c r="M1568" s="12" t="n">
        <v>0.187</v>
      </c>
    </row>
    <row r="1569">
      <c r="A1569" t="inlineStr">
        <is>
          <t>ORD-10611</t>
        </is>
      </c>
      <c r="B1569" s="10" t="inlineStr">
        <is>
          <t>2025-07-15</t>
        </is>
      </c>
      <c r="C1569" t="inlineStr">
        <is>
          <t>Customer 130</t>
        </is>
      </c>
      <c r="D1569" t="inlineStr">
        <is>
          <t>East</t>
        </is>
      </c>
      <c r="E1569" t="inlineStr">
        <is>
          <t>Office Supplies</t>
        </is>
      </c>
      <c r="F1569" t="inlineStr">
        <is>
          <t>Stapler</t>
        </is>
      </c>
      <c r="G1569" t="inlineStr">
        <is>
          <t>Second Class</t>
        </is>
      </c>
      <c r="H1569" t="n">
        <v>4</v>
      </c>
      <c r="I1569" s="11" t="n">
        <v>835.78</v>
      </c>
      <c r="J1569" s="12" t="n">
        <v>0.2</v>
      </c>
      <c r="K1569" s="11" t="n">
        <v>2674.5</v>
      </c>
      <c r="L1569" s="11" t="n">
        <v>791.14</v>
      </c>
      <c r="M1569" s="12" t="n">
        <v>0.2958</v>
      </c>
    </row>
    <row r="1570">
      <c r="A1570" t="inlineStr">
        <is>
          <t>ORD-11613</t>
        </is>
      </c>
      <c r="B1570" s="10" t="inlineStr">
        <is>
          <t>2025-07-16</t>
        </is>
      </c>
      <c r="C1570" t="inlineStr">
        <is>
          <t>Customer 132</t>
        </is>
      </c>
      <c r="D1570" t="inlineStr">
        <is>
          <t>East</t>
        </is>
      </c>
      <c r="E1570" t="inlineStr">
        <is>
          <t>Furniture</t>
        </is>
      </c>
      <c r="F1570" t="inlineStr">
        <is>
          <t>Bookcase</t>
        </is>
      </c>
      <c r="G1570" t="inlineStr">
        <is>
          <t>Standard Class</t>
        </is>
      </c>
      <c r="H1570" t="n">
        <v>1</v>
      </c>
      <c r="I1570" s="11" t="n">
        <v>933.1</v>
      </c>
      <c r="J1570" s="12" t="n">
        <v>0</v>
      </c>
      <c r="K1570" s="11" t="n">
        <v>933.1</v>
      </c>
      <c r="L1570" s="11" t="n">
        <v>300.25</v>
      </c>
      <c r="M1570" s="12" t="n">
        <v>0.3218</v>
      </c>
    </row>
    <row r="1571">
      <c r="A1571" t="inlineStr">
        <is>
          <t>ORD-10618</t>
        </is>
      </c>
      <c r="B1571" s="10" t="inlineStr">
        <is>
          <t>2025-07-16</t>
        </is>
      </c>
      <c r="C1571" t="inlineStr">
        <is>
          <t>Customer 189</t>
        </is>
      </c>
      <c r="D1571" t="inlineStr">
        <is>
          <t>North</t>
        </is>
      </c>
      <c r="E1571" t="inlineStr">
        <is>
          <t>Technology</t>
        </is>
      </c>
      <c r="F1571" t="inlineStr">
        <is>
          <t>Wireless Mouse</t>
        </is>
      </c>
      <c r="G1571" t="inlineStr">
        <is>
          <t>First Class</t>
        </is>
      </c>
      <c r="H1571" t="n">
        <v>10</v>
      </c>
      <c r="I1571" s="11" t="n">
        <v>602.88</v>
      </c>
      <c r="J1571" s="12" t="n">
        <v>0.1</v>
      </c>
      <c r="K1571" s="11" t="n">
        <v>5425.92</v>
      </c>
      <c r="L1571" s="11" t="n">
        <v>1846.28</v>
      </c>
      <c r="M1571" s="12" t="n">
        <v>0.3403</v>
      </c>
    </row>
    <row r="1572">
      <c r="A1572" t="inlineStr">
        <is>
          <t>ORD-10416</t>
        </is>
      </c>
      <c r="B1572" s="10" t="inlineStr">
        <is>
          <t>2025-07-16</t>
        </is>
      </c>
      <c r="C1572" t="inlineStr">
        <is>
          <t>Customer 147</t>
        </is>
      </c>
      <c r="D1572" t="inlineStr">
        <is>
          <t>North</t>
        </is>
      </c>
      <c r="E1572" t="inlineStr">
        <is>
          <t>Technology</t>
        </is>
      </c>
      <c r="F1572" t="inlineStr">
        <is>
          <t>Printer</t>
        </is>
      </c>
      <c r="G1572" t="inlineStr">
        <is>
          <t>First Class</t>
        </is>
      </c>
      <c r="H1572" t="n">
        <v>9</v>
      </c>
      <c r="I1572" s="11" t="n">
        <v>1197.88</v>
      </c>
      <c r="J1572" s="12" t="n">
        <v>0</v>
      </c>
      <c r="K1572" s="11" t="n">
        <v>10780.92</v>
      </c>
      <c r="L1572" s="11" t="n">
        <v>5159.14</v>
      </c>
      <c r="M1572" s="12" t="n">
        <v>0.4785</v>
      </c>
    </row>
    <row r="1573">
      <c r="A1573" t="inlineStr">
        <is>
          <t>ORD-10210</t>
        </is>
      </c>
      <c r="B1573" s="10" t="inlineStr">
        <is>
          <t>2025-07-16</t>
        </is>
      </c>
      <c r="C1573" t="inlineStr">
        <is>
          <t>Customer 155</t>
        </is>
      </c>
      <c r="D1573" t="inlineStr">
        <is>
          <t>South</t>
        </is>
      </c>
      <c r="E1573" t="inlineStr">
        <is>
          <t>Office Supplies</t>
        </is>
      </c>
      <c r="F1573" t="inlineStr">
        <is>
          <t>Binder</t>
        </is>
      </c>
      <c r="G1573" t="inlineStr">
        <is>
          <t>First Class</t>
        </is>
      </c>
      <c r="H1573" t="n">
        <v>4</v>
      </c>
      <c r="I1573" s="11" t="n">
        <v>650.87</v>
      </c>
      <c r="J1573" s="12" t="n">
        <v>0</v>
      </c>
      <c r="K1573" s="11" t="n">
        <v>2603.48</v>
      </c>
      <c r="L1573" s="11" t="n">
        <v>1009.48</v>
      </c>
      <c r="M1573" s="12" t="n">
        <v>0.3877</v>
      </c>
    </row>
    <row r="1574">
      <c r="A1574" t="inlineStr">
        <is>
          <t>ORD-10373</t>
        </is>
      </c>
      <c r="B1574" s="10" t="inlineStr">
        <is>
          <t>2025-07-17</t>
        </is>
      </c>
      <c r="C1574" t="inlineStr">
        <is>
          <t>Customer 12</t>
        </is>
      </c>
      <c r="D1574" t="inlineStr">
        <is>
          <t>West</t>
        </is>
      </c>
      <c r="E1574" t="inlineStr">
        <is>
          <t>Technology</t>
        </is>
      </c>
      <c r="F1574" t="inlineStr">
        <is>
          <t>Wireless Mouse</t>
        </is>
      </c>
      <c r="G1574" t="inlineStr">
        <is>
          <t>Second Class</t>
        </is>
      </c>
      <c r="H1574" t="n">
        <v>3</v>
      </c>
      <c r="I1574" s="11" t="n">
        <v>200.03</v>
      </c>
      <c r="J1574" s="12" t="n">
        <v>0</v>
      </c>
      <c r="K1574" s="11" t="n">
        <v>600.09</v>
      </c>
      <c r="L1574" s="11" t="n">
        <v>222.73</v>
      </c>
      <c r="M1574" s="12" t="n">
        <v>0.3712</v>
      </c>
    </row>
    <row r="1575">
      <c r="A1575" t="inlineStr">
        <is>
          <t>ORD-11023</t>
        </is>
      </c>
      <c r="B1575" s="10" t="inlineStr">
        <is>
          <t>2025-07-17</t>
        </is>
      </c>
      <c r="C1575" t="inlineStr">
        <is>
          <t>Customer 18</t>
        </is>
      </c>
      <c r="D1575" t="inlineStr">
        <is>
          <t>North</t>
        </is>
      </c>
      <c r="E1575" t="inlineStr">
        <is>
          <t>Furniture</t>
        </is>
      </c>
      <c r="F1575" t="inlineStr">
        <is>
          <t>Table Lamp</t>
        </is>
      </c>
      <c r="G1575" t="inlineStr">
        <is>
          <t>Standard Class</t>
        </is>
      </c>
      <c r="H1575" t="n">
        <v>2</v>
      </c>
      <c r="I1575" s="11" t="n">
        <v>122.6</v>
      </c>
      <c r="J1575" s="12" t="n">
        <v>0</v>
      </c>
      <c r="K1575" s="11" t="n">
        <v>245.2</v>
      </c>
      <c r="L1575" s="11" t="n">
        <v>77.47</v>
      </c>
      <c r="M1575" s="12" t="n">
        <v>0.3159</v>
      </c>
    </row>
    <row r="1576">
      <c r="A1576" t="inlineStr">
        <is>
          <t>ORD-10173</t>
        </is>
      </c>
      <c r="B1576" s="10" t="inlineStr">
        <is>
          <t>2025-07-18</t>
        </is>
      </c>
      <c r="C1576" t="inlineStr">
        <is>
          <t>Customer 161</t>
        </is>
      </c>
      <c r="D1576" t="inlineStr">
        <is>
          <t>West</t>
        </is>
      </c>
      <c r="E1576" t="inlineStr">
        <is>
          <t>Office Supplies</t>
        </is>
      </c>
      <c r="F1576" t="inlineStr">
        <is>
          <t>Pens (Box)</t>
        </is>
      </c>
      <c r="G1576" t="inlineStr">
        <is>
          <t>Same Day</t>
        </is>
      </c>
      <c r="H1576" t="n">
        <v>1</v>
      </c>
      <c r="I1576" s="11" t="n">
        <v>6.28</v>
      </c>
      <c r="J1576" s="12" t="n">
        <v>0</v>
      </c>
      <c r="K1576" s="11" t="n">
        <v>6.28</v>
      </c>
      <c r="L1576" s="11" t="n">
        <v>1.17</v>
      </c>
      <c r="M1576" s="12" t="n">
        <v>0.1863</v>
      </c>
    </row>
    <row r="1577">
      <c r="A1577" t="inlineStr">
        <is>
          <t>ORD-11653</t>
        </is>
      </c>
      <c r="B1577" s="10" t="inlineStr">
        <is>
          <t>2025-07-18</t>
        </is>
      </c>
      <c r="C1577" t="inlineStr">
        <is>
          <t>Customer 177</t>
        </is>
      </c>
      <c r="D1577" t="inlineStr">
        <is>
          <t>East</t>
        </is>
      </c>
      <c r="E1577" t="inlineStr">
        <is>
          <t>Furniture</t>
        </is>
      </c>
      <c r="F1577" t="inlineStr">
        <is>
          <t>Table Lamp</t>
        </is>
      </c>
      <c r="G1577" t="inlineStr">
        <is>
          <t>Standard Class</t>
        </is>
      </c>
      <c r="H1577" t="n">
        <v>8</v>
      </c>
      <c r="I1577" s="11" t="n">
        <v>931.67</v>
      </c>
      <c r="J1577" s="12" t="n">
        <v>0</v>
      </c>
      <c r="K1577" s="11" t="n">
        <v>7453.36</v>
      </c>
      <c r="L1577" s="11" t="n">
        <v>3089.55</v>
      </c>
      <c r="M1577" s="12" t="n">
        <v>0.4145</v>
      </c>
    </row>
    <row r="1578">
      <c r="A1578" t="inlineStr">
        <is>
          <t>ORD-10986</t>
        </is>
      </c>
      <c r="B1578" s="10" t="inlineStr">
        <is>
          <t>2025-07-18</t>
        </is>
      </c>
      <c r="C1578" t="inlineStr">
        <is>
          <t>Customer 140</t>
        </is>
      </c>
      <c r="D1578" t="inlineStr">
        <is>
          <t>South</t>
        </is>
      </c>
      <c r="E1578" t="inlineStr">
        <is>
          <t>Technology</t>
        </is>
      </c>
      <c r="F1578" t="inlineStr">
        <is>
          <t>Wireless Mouse</t>
        </is>
      </c>
      <c r="G1578" t="inlineStr">
        <is>
          <t>First Class</t>
        </is>
      </c>
      <c r="H1578" t="n">
        <v>11</v>
      </c>
      <c r="I1578" s="11" t="n">
        <v>53.68</v>
      </c>
      <c r="J1578" s="12" t="n">
        <v>0.2</v>
      </c>
      <c r="K1578" s="11" t="n">
        <v>472.38</v>
      </c>
      <c r="L1578" s="11" t="n">
        <v>167.5</v>
      </c>
      <c r="M1578" s="12" t="n">
        <v>0.3546</v>
      </c>
    </row>
    <row r="1579">
      <c r="A1579" t="inlineStr">
        <is>
          <t>ORD-10190</t>
        </is>
      </c>
      <c r="B1579" s="10" t="inlineStr">
        <is>
          <t>2025-07-19</t>
        </is>
      </c>
      <c r="C1579" t="inlineStr">
        <is>
          <t>Customer 18</t>
        </is>
      </c>
      <c r="D1579" t="inlineStr">
        <is>
          <t>North</t>
        </is>
      </c>
      <c r="E1579" t="inlineStr">
        <is>
          <t>Office Supplies</t>
        </is>
      </c>
      <c r="F1579" t="inlineStr">
        <is>
          <t>Paper</t>
        </is>
      </c>
      <c r="G1579" t="inlineStr">
        <is>
          <t>Same Day</t>
        </is>
      </c>
      <c r="H1579" t="n">
        <v>5</v>
      </c>
      <c r="I1579" s="11" t="n">
        <v>598.4299999999999</v>
      </c>
      <c r="J1579" s="12" t="n">
        <v>0</v>
      </c>
      <c r="K1579" s="11" t="n">
        <v>2992.15</v>
      </c>
      <c r="L1579" s="11" t="n">
        <v>485.04</v>
      </c>
      <c r="M1579" s="12" t="n">
        <v>0.1621</v>
      </c>
    </row>
    <row r="1580">
      <c r="A1580" t="inlineStr">
        <is>
          <t>ORD-11657</t>
        </is>
      </c>
      <c r="B1580" s="10" t="inlineStr">
        <is>
          <t>2025-07-19</t>
        </is>
      </c>
      <c r="C1580" t="inlineStr">
        <is>
          <t>Customer 56</t>
        </is>
      </c>
      <c r="D1580" t="inlineStr">
        <is>
          <t>North</t>
        </is>
      </c>
      <c r="E1580" t="inlineStr">
        <is>
          <t>Technology</t>
        </is>
      </c>
      <c r="F1580" t="inlineStr">
        <is>
          <t>Printer</t>
        </is>
      </c>
      <c r="G1580" t="inlineStr">
        <is>
          <t>First Class</t>
        </is>
      </c>
      <c r="H1580" t="n">
        <v>3</v>
      </c>
      <c r="I1580" s="11" t="n">
        <v>44.71</v>
      </c>
      <c r="J1580" s="12" t="n">
        <v>0</v>
      </c>
      <c r="K1580" s="11" t="n">
        <v>134.13</v>
      </c>
      <c r="L1580" s="11" t="n">
        <v>34.44</v>
      </c>
      <c r="M1580" s="12" t="n">
        <v>0.2568</v>
      </c>
    </row>
    <row r="1581">
      <c r="A1581" t="inlineStr">
        <is>
          <t>ORD-11342</t>
        </is>
      </c>
      <c r="B1581" s="10" t="inlineStr">
        <is>
          <t>2025-07-20</t>
        </is>
      </c>
      <c r="C1581" t="inlineStr">
        <is>
          <t>Customer 50</t>
        </is>
      </c>
      <c r="D1581" t="inlineStr">
        <is>
          <t>West</t>
        </is>
      </c>
      <c r="E1581" t="inlineStr">
        <is>
          <t>Technology</t>
        </is>
      </c>
      <c r="F1581" t="inlineStr">
        <is>
          <t>Wireless Mouse</t>
        </is>
      </c>
      <c r="G1581" t="inlineStr">
        <is>
          <t>First Class</t>
        </is>
      </c>
      <c r="H1581" t="n">
        <v>3</v>
      </c>
      <c r="I1581" s="11" t="n">
        <v>1076.06</v>
      </c>
      <c r="J1581" s="12" t="n">
        <v>0</v>
      </c>
      <c r="K1581" s="11" t="n">
        <v>3228.18</v>
      </c>
      <c r="L1581" s="11" t="n">
        <v>1162.08</v>
      </c>
      <c r="M1581" s="12" t="n">
        <v>0.36</v>
      </c>
    </row>
    <row r="1582">
      <c r="A1582" t="inlineStr">
        <is>
          <t>ORD-11401</t>
        </is>
      </c>
      <c r="B1582" s="10" t="inlineStr">
        <is>
          <t>2025-07-20</t>
        </is>
      </c>
      <c r="C1582" t="inlineStr">
        <is>
          <t>Customer 137</t>
        </is>
      </c>
      <c r="D1582" t="inlineStr">
        <is>
          <t>East</t>
        </is>
      </c>
      <c r="E1582" t="inlineStr">
        <is>
          <t>Furniture</t>
        </is>
      </c>
      <c r="F1582" t="inlineStr">
        <is>
          <t>Bookcase</t>
        </is>
      </c>
      <c r="G1582" t="inlineStr">
        <is>
          <t>Same Day</t>
        </is>
      </c>
      <c r="H1582" t="n">
        <v>11</v>
      </c>
      <c r="I1582" s="11" t="n">
        <v>539.1</v>
      </c>
      <c r="J1582" s="12" t="n">
        <v>0</v>
      </c>
      <c r="K1582" s="11" t="n">
        <v>5930.1</v>
      </c>
      <c r="L1582" s="11" t="n">
        <v>2904.45</v>
      </c>
      <c r="M1582" s="12" t="n">
        <v>0.4898</v>
      </c>
    </row>
    <row r="1583">
      <c r="A1583" t="inlineStr">
        <is>
          <t>ORD-10863</t>
        </is>
      </c>
      <c r="B1583" s="10" t="inlineStr">
        <is>
          <t>2025-07-20</t>
        </is>
      </c>
      <c r="C1583" t="inlineStr">
        <is>
          <t>Customer 34</t>
        </is>
      </c>
      <c r="D1583" t="inlineStr">
        <is>
          <t>East</t>
        </is>
      </c>
      <c r="E1583" t="inlineStr">
        <is>
          <t>Office Supplies</t>
        </is>
      </c>
      <c r="F1583" t="inlineStr">
        <is>
          <t>Stapler</t>
        </is>
      </c>
      <c r="G1583" t="inlineStr">
        <is>
          <t>First Class</t>
        </is>
      </c>
      <c r="H1583" t="n">
        <v>6</v>
      </c>
      <c r="I1583" s="11" t="n">
        <v>500.38</v>
      </c>
      <c r="J1583" s="12" t="n">
        <v>0.2</v>
      </c>
      <c r="K1583" s="11" t="n">
        <v>2401.82</v>
      </c>
      <c r="L1583" s="11" t="n">
        <v>18.74</v>
      </c>
      <c r="M1583" s="12" t="n">
        <v>0.0078</v>
      </c>
    </row>
    <row r="1584">
      <c r="A1584" t="inlineStr">
        <is>
          <t>ORD-10471</t>
        </is>
      </c>
      <c r="B1584" s="10" t="inlineStr">
        <is>
          <t>2025-07-20</t>
        </is>
      </c>
      <c r="C1584" t="inlineStr">
        <is>
          <t>Customer 161</t>
        </is>
      </c>
      <c r="D1584" t="inlineStr">
        <is>
          <t>West</t>
        </is>
      </c>
      <c r="E1584" t="inlineStr">
        <is>
          <t>Furniture</t>
        </is>
      </c>
      <c r="F1584" t="inlineStr">
        <is>
          <t>Chair</t>
        </is>
      </c>
      <c r="G1584" t="inlineStr">
        <is>
          <t>Standard Class</t>
        </is>
      </c>
      <c r="H1584" t="n">
        <v>1</v>
      </c>
      <c r="I1584" s="11" t="n">
        <v>73.01000000000001</v>
      </c>
      <c r="J1584" s="12" t="n">
        <v>0.2</v>
      </c>
      <c r="K1584" s="11" t="n">
        <v>58.41</v>
      </c>
      <c r="L1584" s="11" t="n">
        <v>13.93</v>
      </c>
      <c r="M1584" s="12" t="n">
        <v>0.2385</v>
      </c>
    </row>
    <row r="1585">
      <c r="A1585" t="inlineStr">
        <is>
          <t>ORD-11772</t>
        </is>
      </c>
      <c r="B1585" s="10" t="inlineStr">
        <is>
          <t>2025-07-21</t>
        </is>
      </c>
      <c r="C1585" t="inlineStr">
        <is>
          <t>Customer 162</t>
        </is>
      </c>
      <c r="D1585" t="inlineStr">
        <is>
          <t>East</t>
        </is>
      </c>
      <c r="E1585" t="inlineStr">
        <is>
          <t>Furniture</t>
        </is>
      </c>
      <c r="F1585" t="inlineStr">
        <is>
          <t>Chair</t>
        </is>
      </c>
      <c r="G1585" t="inlineStr">
        <is>
          <t>Standard Class</t>
        </is>
      </c>
      <c r="H1585" t="n">
        <v>10</v>
      </c>
      <c r="I1585" s="11" t="n">
        <v>1029.72</v>
      </c>
      <c r="J1585" s="12" t="n">
        <v>0</v>
      </c>
      <c r="K1585" s="11" t="n">
        <v>10297.2</v>
      </c>
      <c r="L1585" s="11" t="n">
        <v>3933.97</v>
      </c>
      <c r="M1585" s="12" t="n">
        <v>0.382</v>
      </c>
    </row>
    <row r="1586">
      <c r="A1586" t="inlineStr">
        <is>
          <t>ORD-11907</t>
        </is>
      </c>
      <c r="B1586" s="10" t="inlineStr">
        <is>
          <t>2025-07-21</t>
        </is>
      </c>
      <c r="C1586" t="inlineStr">
        <is>
          <t>Customer 138</t>
        </is>
      </c>
      <c r="D1586" t="inlineStr">
        <is>
          <t>North</t>
        </is>
      </c>
      <c r="E1586" t="inlineStr">
        <is>
          <t>Furniture</t>
        </is>
      </c>
      <c r="F1586" t="inlineStr">
        <is>
          <t>Desk</t>
        </is>
      </c>
      <c r="G1586" t="inlineStr">
        <is>
          <t>Standard Class</t>
        </is>
      </c>
      <c r="H1586" t="n">
        <v>1</v>
      </c>
      <c r="I1586" s="11" t="n">
        <v>312.72</v>
      </c>
      <c r="J1586" s="12" t="n">
        <v>0</v>
      </c>
      <c r="K1586" s="11" t="n">
        <v>312.72</v>
      </c>
      <c r="L1586" s="11" t="n">
        <v>66.47</v>
      </c>
      <c r="M1586" s="12" t="n">
        <v>0.2126</v>
      </c>
    </row>
    <row r="1587">
      <c r="A1587" t="inlineStr">
        <is>
          <t>ORD-11141</t>
        </is>
      </c>
      <c r="B1587" s="10" t="inlineStr">
        <is>
          <t>2025-07-22</t>
        </is>
      </c>
      <c r="C1587" t="inlineStr">
        <is>
          <t>Customer 155</t>
        </is>
      </c>
      <c r="D1587" t="inlineStr">
        <is>
          <t>South</t>
        </is>
      </c>
      <c r="E1587" t="inlineStr">
        <is>
          <t>Technology</t>
        </is>
      </c>
      <c r="F1587" t="inlineStr">
        <is>
          <t>Printer</t>
        </is>
      </c>
      <c r="G1587" t="inlineStr">
        <is>
          <t>Standard Class</t>
        </is>
      </c>
      <c r="H1587" t="n">
        <v>6</v>
      </c>
      <c r="I1587" s="11" t="n">
        <v>75.94</v>
      </c>
      <c r="J1587" s="12" t="n">
        <v>0.1</v>
      </c>
      <c r="K1587" s="11" t="n">
        <v>410.08</v>
      </c>
      <c r="L1587" s="11" t="n">
        <v>68.02</v>
      </c>
      <c r="M1587" s="12" t="n">
        <v>0.1659</v>
      </c>
    </row>
    <row r="1588">
      <c r="A1588" t="inlineStr">
        <is>
          <t>ORD-11346</t>
        </is>
      </c>
      <c r="B1588" s="10" t="inlineStr">
        <is>
          <t>2025-07-22</t>
        </is>
      </c>
      <c r="C1588" t="inlineStr">
        <is>
          <t>Customer 125</t>
        </is>
      </c>
      <c r="D1588" t="inlineStr">
        <is>
          <t>West</t>
        </is>
      </c>
      <c r="E1588" t="inlineStr">
        <is>
          <t>Office Supplies</t>
        </is>
      </c>
      <c r="F1588" t="inlineStr">
        <is>
          <t>Stapler</t>
        </is>
      </c>
      <c r="G1588" t="inlineStr">
        <is>
          <t>Same Day</t>
        </is>
      </c>
      <c r="H1588" t="n">
        <v>4</v>
      </c>
      <c r="I1588" s="11" t="n">
        <v>718.29</v>
      </c>
      <c r="J1588" s="12" t="n">
        <v>0.15</v>
      </c>
      <c r="K1588" s="11" t="n">
        <v>2442.19</v>
      </c>
      <c r="L1588" s="11" t="n">
        <v>410.82</v>
      </c>
      <c r="M1588" s="12" t="n">
        <v>0.1682</v>
      </c>
    </row>
    <row r="1589">
      <c r="A1589" t="inlineStr">
        <is>
          <t>ORD-11661</t>
        </is>
      </c>
      <c r="B1589" s="10" t="inlineStr">
        <is>
          <t>2025-07-23</t>
        </is>
      </c>
      <c r="C1589" t="inlineStr">
        <is>
          <t>Customer 198</t>
        </is>
      </c>
      <c r="D1589" t="inlineStr">
        <is>
          <t>North</t>
        </is>
      </c>
      <c r="E1589" t="inlineStr">
        <is>
          <t>Furniture</t>
        </is>
      </c>
      <c r="F1589" t="inlineStr">
        <is>
          <t>Chair</t>
        </is>
      </c>
      <c r="G1589" t="inlineStr">
        <is>
          <t>Second Class</t>
        </is>
      </c>
      <c r="H1589" t="n">
        <v>3</v>
      </c>
      <c r="I1589" s="11" t="n">
        <v>1044.72</v>
      </c>
      <c r="J1589" s="12" t="n">
        <v>0</v>
      </c>
      <c r="K1589" s="11" t="n">
        <v>3134.16</v>
      </c>
      <c r="L1589" s="11" t="n">
        <v>817.26</v>
      </c>
      <c r="M1589" s="12" t="n">
        <v>0.2608</v>
      </c>
    </row>
    <row r="1590">
      <c r="A1590" t="inlineStr">
        <is>
          <t>ORD-10185</t>
        </is>
      </c>
      <c r="B1590" s="10" t="inlineStr">
        <is>
          <t>2025-07-23</t>
        </is>
      </c>
      <c r="C1590" t="inlineStr">
        <is>
          <t>Customer 67</t>
        </is>
      </c>
      <c r="D1590" t="inlineStr">
        <is>
          <t>West</t>
        </is>
      </c>
      <c r="E1590" t="inlineStr">
        <is>
          <t>Furniture</t>
        </is>
      </c>
      <c r="F1590" t="inlineStr">
        <is>
          <t>Desk</t>
        </is>
      </c>
      <c r="G1590" t="inlineStr">
        <is>
          <t>Same Day</t>
        </is>
      </c>
      <c r="H1590" t="n">
        <v>2</v>
      </c>
      <c r="I1590" s="11" t="n">
        <v>869.12</v>
      </c>
      <c r="J1590" s="12" t="n">
        <v>0</v>
      </c>
      <c r="K1590" s="11" t="n">
        <v>1738.24</v>
      </c>
      <c r="L1590" s="11" t="n">
        <v>738.6</v>
      </c>
      <c r="M1590" s="12" t="n">
        <v>0.4249</v>
      </c>
    </row>
    <row r="1591">
      <c r="A1591" t="inlineStr">
        <is>
          <t>ORD-10937</t>
        </is>
      </c>
      <c r="B1591" s="10" t="inlineStr">
        <is>
          <t>2025-07-24</t>
        </is>
      </c>
      <c r="C1591" t="inlineStr">
        <is>
          <t>Customer 106</t>
        </is>
      </c>
      <c r="D1591" t="inlineStr">
        <is>
          <t>West</t>
        </is>
      </c>
      <c r="E1591" t="inlineStr">
        <is>
          <t>Furniture</t>
        </is>
      </c>
      <c r="F1591" t="inlineStr">
        <is>
          <t>Chair</t>
        </is>
      </c>
      <c r="G1591" t="inlineStr">
        <is>
          <t>Standard Class</t>
        </is>
      </c>
      <c r="H1591" t="n">
        <v>9</v>
      </c>
      <c r="I1591" s="11" t="n">
        <v>864.75</v>
      </c>
      <c r="J1591" s="12" t="n">
        <v>0</v>
      </c>
      <c r="K1591" s="11" t="n">
        <v>7782.75</v>
      </c>
      <c r="L1591" s="11" t="n">
        <v>2194.69</v>
      </c>
      <c r="M1591" s="12" t="n">
        <v>0.282</v>
      </c>
    </row>
    <row r="1592">
      <c r="A1592" t="inlineStr">
        <is>
          <t>ORD-10893</t>
        </is>
      </c>
      <c r="B1592" s="10" t="inlineStr">
        <is>
          <t>2025-07-24</t>
        </is>
      </c>
      <c r="C1592" t="inlineStr">
        <is>
          <t>Customer 6</t>
        </is>
      </c>
      <c r="D1592" t="inlineStr">
        <is>
          <t>West</t>
        </is>
      </c>
      <c r="E1592" t="inlineStr">
        <is>
          <t>Technology</t>
        </is>
      </c>
      <c r="F1592" t="inlineStr">
        <is>
          <t>Wireless Mouse</t>
        </is>
      </c>
      <c r="G1592" t="inlineStr">
        <is>
          <t>Same Day</t>
        </is>
      </c>
      <c r="H1592" t="n">
        <v>1</v>
      </c>
      <c r="I1592" s="11" t="n">
        <v>1000.73</v>
      </c>
      <c r="J1592" s="12" t="n">
        <v>0</v>
      </c>
      <c r="K1592" s="11" t="n">
        <v>1000.73</v>
      </c>
      <c r="L1592" s="11" t="n">
        <v>451.9</v>
      </c>
      <c r="M1592" s="12" t="n">
        <v>0.4516</v>
      </c>
    </row>
    <row r="1593">
      <c r="A1593" t="inlineStr">
        <is>
          <t>ORD-10259</t>
        </is>
      </c>
      <c r="B1593" s="10" t="inlineStr">
        <is>
          <t>2025-07-24</t>
        </is>
      </c>
      <c r="C1593" t="inlineStr">
        <is>
          <t>Customer 71</t>
        </is>
      </c>
      <c r="D1593" t="inlineStr">
        <is>
          <t>West</t>
        </is>
      </c>
      <c r="E1593" t="inlineStr">
        <is>
          <t>Technology</t>
        </is>
      </c>
      <c r="F1593" t="inlineStr">
        <is>
          <t>Printer</t>
        </is>
      </c>
      <c r="G1593" t="inlineStr">
        <is>
          <t>Second Class</t>
        </is>
      </c>
      <c r="H1593" t="n">
        <v>4</v>
      </c>
      <c r="I1593" s="11" t="n">
        <v>563.84</v>
      </c>
      <c r="J1593" s="12" t="n">
        <v>0</v>
      </c>
      <c r="K1593" s="11" t="n">
        <v>2255.36</v>
      </c>
      <c r="L1593" s="11" t="n">
        <v>498.89</v>
      </c>
      <c r="M1593" s="12" t="n">
        <v>0.2212</v>
      </c>
    </row>
    <row r="1594">
      <c r="A1594" t="inlineStr">
        <is>
          <t>ORD-11097</t>
        </is>
      </c>
      <c r="B1594" s="10" t="inlineStr">
        <is>
          <t>2025-07-25</t>
        </is>
      </c>
      <c r="C1594" t="inlineStr">
        <is>
          <t>Customer 51</t>
        </is>
      </c>
      <c r="D1594" t="inlineStr">
        <is>
          <t>West</t>
        </is>
      </c>
      <c r="E1594" t="inlineStr">
        <is>
          <t>Technology</t>
        </is>
      </c>
      <c r="F1594" t="inlineStr">
        <is>
          <t>Printer</t>
        </is>
      </c>
      <c r="G1594" t="inlineStr">
        <is>
          <t>Same Day</t>
        </is>
      </c>
      <c r="H1594" t="n">
        <v>2</v>
      </c>
      <c r="I1594" s="11" t="n">
        <v>37.13</v>
      </c>
      <c r="J1594" s="12" t="n">
        <v>0</v>
      </c>
      <c r="K1594" s="11" t="n">
        <v>74.26000000000001</v>
      </c>
      <c r="L1594" s="11" t="n">
        <v>32.14</v>
      </c>
      <c r="M1594" s="12" t="n">
        <v>0.4328</v>
      </c>
    </row>
    <row r="1595">
      <c r="A1595" t="inlineStr">
        <is>
          <t>ORD-10118</t>
        </is>
      </c>
      <c r="B1595" s="10" t="inlineStr">
        <is>
          <t>2025-07-25</t>
        </is>
      </c>
      <c r="C1595" t="inlineStr">
        <is>
          <t>Customer 8</t>
        </is>
      </c>
      <c r="D1595" t="inlineStr">
        <is>
          <t>East</t>
        </is>
      </c>
      <c r="E1595" t="inlineStr">
        <is>
          <t>Technology</t>
        </is>
      </c>
      <c r="F1595" t="inlineStr">
        <is>
          <t>Printer</t>
        </is>
      </c>
      <c r="G1595" t="inlineStr">
        <is>
          <t>Same Day</t>
        </is>
      </c>
      <c r="H1595" t="n">
        <v>6</v>
      </c>
      <c r="I1595" s="11" t="n">
        <v>686.0700000000001</v>
      </c>
      <c r="J1595" s="12" t="n">
        <v>0</v>
      </c>
      <c r="K1595" s="11" t="n">
        <v>4116.42</v>
      </c>
      <c r="L1595" s="11" t="n">
        <v>755.8099999999999</v>
      </c>
      <c r="M1595" s="12" t="n">
        <v>0.1836</v>
      </c>
    </row>
    <row r="1596">
      <c r="A1596" t="inlineStr">
        <is>
          <t>ORD-11890</t>
        </is>
      </c>
      <c r="B1596" s="10" t="inlineStr">
        <is>
          <t>2025-07-25</t>
        </is>
      </c>
      <c r="C1596" t="inlineStr">
        <is>
          <t>Customer 93</t>
        </is>
      </c>
      <c r="D1596" t="inlineStr">
        <is>
          <t>West</t>
        </is>
      </c>
      <c r="E1596" t="inlineStr">
        <is>
          <t>Technology</t>
        </is>
      </c>
      <c r="F1596" t="inlineStr">
        <is>
          <t>Monitor</t>
        </is>
      </c>
      <c r="G1596" t="inlineStr">
        <is>
          <t>First Class</t>
        </is>
      </c>
      <c r="H1596" t="n">
        <v>1</v>
      </c>
      <c r="I1596" s="11" t="n">
        <v>509.49</v>
      </c>
      <c r="J1596" s="12" t="n">
        <v>0.1</v>
      </c>
      <c r="K1596" s="11" t="n">
        <v>458.54</v>
      </c>
      <c r="L1596" s="11" t="n">
        <v>146.2</v>
      </c>
      <c r="M1596" s="12" t="n">
        <v>0.3188</v>
      </c>
    </row>
    <row r="1597">
      <c r="A1597" t="inlineStr">
        <is>
          <t>ORD-11077</t>
        </is>
      </c>
      <c r="B1597" s="10" t="inlineStr">
        <is>
          <t>2025-07-25</t>
        </is>
      </c>
      <c r="C1597" t="inlineStr">
        <is>
          <t>Customer 43</t>
        </is>
      </c>
      <c r="D1597" t="inlineStr">
        <is>
          <t>East</t>
        </is>
      </c>
      <c r="E1597" t="inlineStr">
        <is>
          <t>Office Supplies</t>
        </is>
      </c>
      <c r="F1597" t="inlineStr">
        <is>
          <t>Paper</t>
        </is>
      </c>
      <c r="G1597" t="inlineStr">
        <is>
          <t>Same Day</t>
        </is>
      </c>
      <c r="H1597" t="n">
        <v>3</v>
      </c>
      <c r="I1597" s="11" t="n">
        <v>577.26</v>
      </c>
      <c r="J1597" s="12" t="n">
        <v>0</v>
      </c>
      <c r="K1597" s="11" t="n">
        <v>1731.78</v>
      </c>
      <c r="L1597" s="11" t="n">
        <v>723.49</v>
      </c>
      <c r="M1597" s="12" t="n">
        <v>0.4178</v>
      </c>
    </row>
    <row r="1598">
      <c r="A1598" t="inlineStr">
        <is>
          <t>ORD-11466</t>
        </is>
      </c>
      <c r="B1598" s="10" t="inlineStr">
        <is>
          <t>2025-07-26</t>
        </is>
      </c>
      <c r="C1598" t="inlineStr">
        <is>
          <t>Customer 4</t>
        </is>
      </c>
      <c r="D1598" t="inlineStr">
        <is>
          <t>South</t>
        </is>
      </c>
      <c r="E1598" t="inlineStr">
        <is>
          <t>Office Supplies</t>
        </is>
      </c>
      <c r="F1598" t="inlineStr">
        <is>
          <t>Stapler</t>
        </is>
      </c>
      <c r="G1598" t="inlineStr">
        <is>
          <t>Same Day</t>
        </is>
      </c>
      <c r="H1598" t="n">
        <v>9</v>
      </c>
      <c r="I1598" s="11" t="n">
        <v>842.35</v>
      </c>
      <c r="J1598" s="12" t="n">
        <v>0</v>
      </c>
      <c r="K1598" s="11" t="n">
        <v>7581.15</v>
      </c>
      <c r="L1598" s="11" t="n">
        <v>2832.99</v>
      </c>
      <c r="M1598" s="12" t="n">
        <v>0.3737</v>
      </c>
    </row>
    <row r="1599">
      <c r="A1599" t="inlineStr">
        <is>
          <t>ORD-11009</t>
        </is>
      </c>
      <c r="B1599" s="10" t="inlineStr">
        <is>
          <t>2025-07-27</t>
        </is>
      </c>
      <c r="C1599" t="inlineStr">
        <is>
          <t>Customer 149</t>
        </is>
      </c>
      <c r="D1599" t="inlineStr">
        <is>
          <t>West</t>
        </is>
      </c>
      <c r="E1599" t="inlineStr">
        <is>
          <t>Office Supplies</t>
        </is>
      </c>
      <c r="F1599" t="inlineStr">
        <is>
          <t>Stapler</t>
        </is>
      </c>
      <c r="G1599" t="inlineStr">
        <is>
          <t>First Class</t>
        </is>
      </c>
      <c r="H1599" t="n">
        <v>6</v>
      </c>
      <c r="I1599" s="11" t="n">
        <v>627.5</v>
      </c>
      <c r="J1599" s="12" t="n">
        <v>0</v>
      </c>
      <c r="K1599" s="11" t="n">
        <v>3765</v>
      </c>
      <c r="L1599" s="11" t="n">
        <v>1092.14</v>
      </c>
      <c r="M1599" s="12" t="n">
        <v>0.2901</v>
      </c>
    </row>
    <row r="1600">
      <c r="A1600" t="inlineStr">
        <is>
          <t>ORD-10623</t>
        </is>
      </c>
      <c r="B1600" s="10" t="inlineStr">
        <is>
          <t>2025-07-27</t>
        </is>
      </c>
      <c r="C1600" t="inlineStr">
        <is>
          <t>Customer 69</t>
        </is>
      </c>
      <c r="D1600" t="inlineStr">
        <is>
          <t>North</t>
        </is>
      </c>
      <c r="E1600" t="inlineStr">
        <is>
          <t>Technology</t>
        </is>
      </c>
      <c r="F1600" t="inlineStr">
        <is>
          <t>Printer</t>
        </is>
      </c>
      <c r="G1600" t="inlineStr">
        <is>
          <t>Standard Class</t>
        </is>
      </c>
      <c r="H1600" t="n">
        <v>6</v>
      </c>
      <c r="I1600" s="11" t="n">
        <v>309.97</v>
      </c>
      <c r="J1600" s="12" t="n">
        <v>0</v>
      </c>
      <c r="K1600" s="11" t="n">
        <v>1859.82</v>
      </c>
      <c r="L1600" s="11" t="n">
        <v>480.5</v>
      </c>
      <c r="M1600" s="12" t="n">
        <v>0.2584</v>
      </c>
    </row>
    <row r="1601">
      <c r="A1601" t="inlineStr">
        <is>
          <t>ORD-10481</t>
        </is>
      </c>
      <c r="B1601" s="10" t="inlineStr">
        <is>
          <t>2025-07-29</t>
        </is>
      </c>
      <c r="C1601" t="inlineStr">
        <is>
          <t>Customer 115</t>
        </is>
      </c>
      <c r="D1601" t="inlineStr">
        <is>
          <t>East</t>
        </is>
      </c>
      <c r="E1601" t="inlineStr">
        <is>
          <t>Furniture</t>
        </is>
      </c>
      <c r="F1601" t="inlineStr">
        <is>
          <t>Bookcase</t>
        </is>
      </c>
      <c r="G1601" t="inlineStr">
        <is>
          <t>Same Day</t>
        </is>
      </c>
      <c r="H1601" t="n">
        <v>9</v>
      </c>
      <c r="I1601" s="11" t="n">
        <v>913.11</v>
      </c>
      <c r="J1601" s="12" t="n">
        <v>0.1</v>
      </c>
      <c r="K1601" s="11" t="n">
        <v>7396.19</v>
      </c>
      <c r="L1601" s="11" t="n">
        <v>2887.38</v>
      </c>
      <c r="M1601" s="12" t="n">
        <v>0.3904</v>
      </c>
    </row>
    <row r="1602">
      <c r="A1602" t="inlineStr">
        <is>
          <t>ORD-11231</t>
        </is>
      </c>
      <c r="B1602" s="10" t="inlineStr">
        <is>
          <t>2025-07-29</t>
        </is>
      </c>
      <c r="C1602" t="inlineStr">
        <is>
          <t>Customer 143</t>
        </is>
      </c>
      <c r="D1602" t="inlineStr">
        <is>
          <t>South</t>
        </is>
      </c>
      <c r="E1602" t="inlineStr">
        <is>
          <t>Office Supplies</t>
        </is>
      </c>
      <c r="F1602" t="inlineStr">
        <is>
          <t>Binder</t>
        </is>
      </c>
      <c r="G1602" t="inlineStr">
        <is>
          <t>First Class</t>
        </is>
      </c>
      <c r="H1602" t="n">
        <v>1</v>
      </c>
      <c r="I1602" s="11" t="n">
        <v>637.15</v>
      </c>
      <c r="J1602" s="12" t="n">
        <v>0</v>
      </c>
      <c r="K1602" s="11" t="n">
        <v>637.15</v>
      </c>
      <c r="L1602" s="11" t="n">
        <v>110.84</v>
      </c>
      <c r="M1602" s="12" t="n">
        <v>0.174</v>
      </c>
    </row>
    <row r="1603">
      <c r="A1603" t="inlineStr">
        <is>
          <t>ORD-11761</t>
        </is>
      </c>
      <c r="B1603" s="10" t="inlineStr">
        <is>
          <t>2025-07-29</t>
        </is>
      </c>
      <c r="C1603" t="inlineStr">
        <is>
          <t>Customer 63</t>
        </is>
      </c>
      <c r="D1603" t="inlineStr">
        <is>
          <t>South</t>
        </is>
      </c>
      <c r="E1603" t="inlineStr">
        <is>
          <t>Office Supplies</t>
        </is>
      </c>
      <c r="F1603" t="inlineStr">
        <is>
          <t>Stapler</t>
        </is>
      </c>
      <c r="G1603" t="inlineStr">
        <is>
          <t>Same Day</t>
        </is>
      </c>
      <c r="H1603" t="n">
        <v>1</v>
      </c>
      <c r="I1603" s="11" t="n">
        <v>516.3099999999999</v>
      </c>
      <c r="J1603" s="12" t="n">
        <v>0.15</v>
      </c>
      <c r="K1603" s="11" t="n">
        <v>438.86</v>
      </c>
      <c r="L1603" s="11" t="n">
        <v>115.07</v>
      </c>
      <c r="M1603" s="12" t="n">
        <v>0.2622</v>
      </c>
    </row>
    <row r="1604">
      <c r="A1604" t="inlineStr">
        <is>
          <t>ORD-10553</t>
        </is>
      </c>
      <c r="B1604" s="10" t="inlineStr">
        <is>
          <t>2025-07-29</t>
        </is>
      </c>
      <c r="C1604" t="inlineStr">
        <is>
          <t>Customer 47</t>
        </is>
      </c>
      <c r="D1604" t="inlineStr">
        <is>
          <t>South</t>
        </is>
      </c>
      <c r="E1604" t="inlineStr">
        <is>
          <t>Technology</t>
        </is>
      </c>
      <c r="F1604" t="inlineStr">
        <is>
          <t>Monitor</t>
        </is>
      </c>
      <c r="G1604" t="inlineStr">
        <is>
          <t>Standard Class</t>
        </is>
      </c>
      <c r="H1604" t="n">
        <v>5</v>
      </c>
      <c r="I1604" s="11" t="n">
        <v>51.5</v>
      </c>
      <c r="J1604" s="12" t="n">
        <v>0</v>
      </c>
      <c r="K1604" s="11" t="n">
        <v>257.5</v>
      </c>
      <c r="L1604" s="11" t="n">
        <v>120.44</v>
      </c>
      <c r="M1604" s="12" t="n">
        <v>0.4677</v>
      </c>
    </row>
    <row r="1605">
      <c r="A1605" t="inlineStr">
        <is>
          <t>ORD-11152</t>
        </is>
      </c>
      <c r="B1605" s="10" t="inlineStr">
        <is>
          <t>2025-07-31</t>
        </is>
      </c>
      <c r="C1605" t="inlineStr">
        <is>
          <t>Customer 62</t>
        </is>
      </c>
      <c r="D1605" t="inlineStr">
        <is>
          <t>East</t>
        </is>
      </c>
      <c r="E1605" t="inlineStr">
        <is>
          <t>Technology</t>
        </is>
      </c>
      <c r="F1605" t="inlineStr">
        <is>
          <t>Laptop</t>
        </is>
      </c>
      <c r="G1605" t="inlineStr">
        <is>
          <t>Same Day</t>
        </is>
      </c>
      <c r="H1605" t="n">
        <v>10</v>
      </c>
      <c r="I1605" s="11" t="n">
        <v>667.58</v>
      </c>
      <c r="J1605" s="12" t="n">
        <v>0</v>
      </c>
      <c r="K1605" s="11" t="n">
        <v>6675.8</v>
      </c>
      <c r="L1605" s="11" t="n">
        <v>2997.42</v>
      </c>
      <c r="M1605" s="12" t="n">
        <v>0.449</v>
      </c>
    </row>
    <row r="1606">
      <c r="A1606" t="inlineStr">
        <is>
          <t>ORD-10226</t>
        </is>
      </c>
      <c r="B1606" s="10" t="inlineStr">
        <is>
          <t>2025-07-31</t>
        </is>
      </c>
      <c r="C1606" t="inlineStr">
        <is>
          <t>Customer 63</t>
        </is>
      </c>
      <c r="D1606" t="inlineStr">
        <is>
          <t>South</t>
        </is>
      </c>
      <c r="E1606" t="inlineStr">
        <is>
          <t>Office Supplies</t>
        </is>
      </c>
      <c r="F1606" t="inlineStr">
        <is>
          <t>Pens (Box)</t>
        </is>
      </c>
      <c r="G1606" t="inlineStr">
        <is>
          <t>Second Class</t>
        </is>
      </c>
      <c r="H1606" t="n">
        <v>6</v>
      </c>
      <c r="I1606" s="11" t="n">
        <v>555.8099999999999</v>
      </c>
      <c r="J1606" s="12" t="n">
        <v>0</v>
      </c>
      <c r="K1606" s="11" t="n">
        <v>3334.86</v>
      </c>
      <c r="L1606" s="11" t="n">
        <v>1648.98</v>
      </c>
      <c r="M1606" s="12" t="n">
        <v>0.4945</v>
      </c>
    </row>
    <row r="1607">
      <c r="A1607" t="inlineStr">
        <is>
          <t>ORD-11663</t>
        </is>
      </c>
      <c r="B1607" s="10" t="inlineStr">
        <is>
          <t>2025-07-31</t>
        </is>
      </c>
      <c r="C1607" t="inlineStr">
        <is>
          <t>Customer 80</t>
        </is>
      </c>
      <c r="D1607" t="inlineStr">
        <is>
          <t>East</t>
        </is>
      </c>
      <c r="E1607" t="inlineStr">
        <is>
          <t>Technology</t>
        </is>
      </c>
      <c r="F1607" t="inlineStr">
        <is>
          <t>Wireless Mouse</t>
        </is>
      </c>
      <c r="G1607" t="inlineStr">
        <is>
          <t>Same Day</t>
        </is>
      </c>
      <c r="H1607" t="n">
        <v>3</v>
      </c>
      <c r="I1607" s="11" t="n">
        <v>84.13</v>
      </c>
      <c r="J1607" s="12" t="n">
        <v>0.1</v>
      </c>
      <c r="K1607" s="11" t="n">
        <v>227.15</v>
      </c>
      <c r="L1607" s="11" t="n">
        <v>98.86</v>
      </c>
      <c r="M1607" s="12" t="n">
        <v>0.4352</v>
      </c>
    </row>
    <row r="1608">
      <c r="A1608" t="inlineStr">
        <is>
          <t>ORD-10701</t>
        </is>
      </c>
      <c r="B1608" s="10" t="inlineStr">
        <is>
          <t>2025-07-31</t>
        </is>
      </c>
      <c r="C1608" t="inlineStr">
        <is>
          <t>Customer 64</t>
        </is>
      </c>
      <c r="D1608" t="inlineStr">
        <is>
          <t>West</t>
        </is>
      </c>
      <c r="E1608" t="inlineStr">
        <is>
          <t>Office Supplies</t>
        </is>
      </c>
      <c r="F1608" t="inlineStr">
        <is>
          <t>Stapler</t>
        </is>
      </c>
      <c r="G1608" t="inlineStr">
        <is>
          <t>Second Class</t>
        </is>
      </c>
      <c r="H1608" t="n">
        <v>9</v>
      </c>
      <c r="I1608" s="11" t="n">
        <v>155.86</v>
      </c>
      <c r="J1608" s="12" t="n">
        <v>0</v>
      </c>
      <c r="K1608" s="11" t="n">
        <v>1402.74</v>
      </c>
      <c r="L1608" s="11" t="n">
        <v>496.77</v>
      </c>
      <c r="M1608" s="12" t="n">
        <v>0.3541</v>
      </c>
    </row>
    <row r="1609">
      <c r="A1609" t="inlineStr">
        <is>
          <t>ORD-11548</t>
        </is>
      </c>
      <c r="B1609" s="10" t="inlineStr">
        <is>
          <t>2025-07-31</t>
        </is>
      </c>
      <c r="C1609" t="inlineStr">
        <is>
          <t>Customer 160</t>
        </is>
      </c>
      <c r="D1609" t="inlineStr">
        <is>
          <t>West</t>
        </is>
      </c>
      <c r="E1609" t="inlineStr">
        <is>
          <t>Furniture</t>
        </is>
      </c>
      <c r="F1609" t="inlineStr">
        <is>
          <t>Desk</t>
        </is>
      </c>
      <c r="G1609" t="inlineStr">
        <is>
          <t>First Class</t>
        </is>
      </c>
      <c r="H1609" t="n">
        <v>1</v>
      </c>
      <c r="I1609" s="11" t="n">
        <v>384.87</v>
      </c>
      <c r="J1609" s="12" t="n">
        <v>0.1</v>
      </c>
      <c r="K1609" s="11" t="n">
        <v>346.38</v>
      </c>
      <c r="L1609" s="11" t="n">
        <v>134.22</v>
      </c>
      <c r="M1609" s="12" t="n">
        <v>0.3875</v>
      </c>
    </row>
    <row r="1610">
      <c r="A1610" t="inlineStr">
        <is>
          <t>ORD-11261</t>
        </is>
      </c>
      <c r="B1610" s="10" t="inlineStr">
        <is>
          <t>2025-08-01</t>
        </is>
      </c>
      <c r="C1610" t="inlineStr">
        <is>
          <t>Customer 8</t>
        </is>
      </c>
      <c r="D1610" t="inlineStr">
        <is>
          <t>East</t>
        </is>
      </c>
      <c r="E1610" t="inlineStr">
        <is>
          <t>Office Supplies</t>
        </is>
      </c>
      <c r="F1610" t="inlineStr">
        <is>
          <t>Pens (Box)</t>
        </is>
      </c>
      <c r="G1610" t="inlineStr">
        <is>
          <t>Same Day</t>
        </is>
      </c>
      <c r="H1610" t="n">
        <v>11</v>
      </c>
      <c r="I1610" s="11" t="n">
        <v>553.65</v>
      </c>
      <c r="J1610" s="12" t="n">
        <v>0</v>
      </c>
      <c r="K1610" s="11" t="n">
        <v>6090.15</v>
      </c>
      <c r="L1610" s="11" t="n">
        <v>1578.25</v>
      </c>
      <c r="M1610" s="12" t="n">
        <v>0.2591</v>
      </c>
    </row>
    <row r="1611">
      <c r="A1611" t="inlineStr">
        <is>
          <t>ORD-11022</t>
        </is>
      </c>
      <c r="B1611" s="10" t="inlineStr">
        <is>
          <t>2025-08-01</t>
        </is>
      </c>
      <c r="C1611" t="inlineStr">
        <is>
          <t>Customer 151</t>
        </is>
      </c>
      <c r="D1611" t="inlineStr">
        <is>
          <t>West</t>
        </is>
      </c>
      <c r="E1611" t="inlineStr">
        <is>
          <t>Office Supplies</t>
        </is>
      </c>
      <c r="F1611" t="inlineStr">
        <is>
          <t>Stapler</t>
        </is>
      </c>
      <c r="G1611" t="inlineStr">
        <is>
          <t>Standard Class</t>
        </is>
      </c>
      <c r="H1611" t="n">
        <v>3</v>
      </c>
      <c r="I1611" s="11" t="n">
        <v>401.61</v>
      </c>
      <c r="J1611" s="12" t="n">
        <v>0</v>
      </c>
      <c r="K1611" s="11" t="n">
        <v>1204.83</v>
      </c>
      <c r="L1611" s="11" t="n">
        <v>449.71</v>
      </c>
      <c r="M1611" s="12" t="n">
        <v>0.3733</v>
      </c>
    </row>
    <row r="1612">
      <c r="A1612" t="inlineStr">
        <is>
          <t>ORD-10566</t>
        </is>
      </c>
      <c r="B1612" s="10" t="inlineStr">
        <is>
          <t>2025-08-01</t>
        </is>
      </c>
      <c r="C1612" t="inlineStr">
        <is>
          <t>Customer 194</t>
        </is>
      </c>
      <c r="D1612" t="inlineStr">
        <is>
          <t>South</t>
        </is>
      </c>
      <c r="E1612" t="inlineStr">
        <is>
          <t>Technology</t>
        </is>
      </c>
      <c r="F1612" t="inlineStr">
        <is>
          <t>Wireless Mouse</t>
        </is>
      </c>
      <c r="G1612" t="inlineStr">
        <is>
          <t>Same Day</t>
        </is>
      </c>
      <c r="H1612" t="n">
        <v>6</v>
      </c>
      <c r="I1612" s="11" t="n">
        <v>592.11</v>
      </c>
      <c r="J1612" s="12" t="n">
        <v>0.1</v>
      </c>
      <c r="K1612" s="11" t="n">
        <v>3197.39</v>
      </c>
      <c r="L1612" s="11" t="n">
        <v>1323.75</v>
      </c>
      <c r="M1612" s="12" t="n">
        <v>0.414</v>
      </c>
    </row>
    <row r="1613">
      <c r="A1613" t="inlineStr">
        <is>
          <t>ORD-10094</t>
        </is>
      </c>
      <c r="B1613" s="10" t="inlineStr">
        <is>
          <t>2025-08-01</t>
        </is>
      </c>
      <c r="C1613" t="inlineStr">
        <is>
          <t>Customer 104</t>
        </is>
      </c>
      <c r="D1613" t="inlineStr">
        <is>
          <t>North</t>
        </is>
      </c>
      <c r="E1613" t="inlineStr">
        <is>
          <t>Furniture</t>
        </is>
      </c>
      <c r="F1613" t="inlineStr">
        <is>
          <t>Bookcase</t>
        </is>
      </c>
      <c r="G1613" t="inlineStr">
        <is>
          <t>Same Day</t>
        </is>
      </c>
      <c r="H1613" t="n">
        <v>3</v>
      </c>
      <c r="I1613" s="11" t="n">
        <v>941.67</v>
      </c>
      <c r="J1613" s="12" t="n">
        <v>0</v>
      </c>
      <c r="K1613" s="11" t="n">
        <v>2825.01</v>
      </c>
      <c r="L1613" s="11" t="n">
        <v>941.6</v>
      </c>
      <c r="M1613" s="12" t="n">
        <v>0.3333</v>
      </c>
    </row>
    <row r="1614">
      <c r="A1614" t="inlineStr">
        <is>
          <t>ORD-11006</t>
        </is>
      </c>
      <c r="B1614" s="10" t="inlineStr">
        <is>
          <t>2025-08-01</t>
        </is>
      </c>
      <c r="C1614" t="inlineStr">
        <is>
          <t>Customer 54</t>
        </is>
      </c>
      <c r="D1614" t="inlineStr">
        <is>
          <t>South</t>
        </is>
      </c>
      <c r="E1614" t="inlineStr">
        <is>
          <t>Technology</t>
        </is>
      </c>
      <c r="F1614" t="inlineStr">
        <is>
          <t>Printer</t>
        </is>
      </c>
      <c r="G1614" t="inlineStr">
        <is>
          <t>Same Day</t>
        </is>
      </c>
      <c r="H1614" t="n">
        <v>3</v>
      </c>
      <c r="I1614" s="11" t="n">
        <v>319.18</v>
      </c>
      <c r="J1614" s="12" t="n">
        <v>0</v>
      </c>
      <c r="K1614" s="11" t="n">
        <v>957.54</v>
      </c>
      <c r="L1614" s="11" t="n">
        <v>243.35</v>
      </c>
      <c r="M1614" s="12" t="n">
        <v>0.2541</v>
      </c>
    </row>
    <row r="1615">
      <c r="A1615" t="inlineStr">
        <is>
          <t>ORD-10642</t>
        </is>
      </c>
      <c r="B1615" s="10" t="inlineStr">
        <is>
          <t>2025-08-01</t>
        </is>
      </c>
      <c r="C1615" t="inlineStr">
        <is>
          <t>Customer 134</t>
        </is>
      </c>
      <c r="D1615" t="inlineStr">
        <is>
          <t>East</t>
        </is>
      </c>
      <c r="E1615" t="inlineStr">
        <is>
          <t>Technology</t>
        </is>
      </c>
      <c r="F1615" t="inlineStr">
        <is>
          <t>Wireless Mouse</t>
        </is>
      </c>
      <c r="G1615" t="inlineStr">
        <is>
          <t>Same Day</t>
        </is>
      </c>
      <c r="H1615" t="n">
        <v>7</v>
      </c>
      <c r="I1615" s="11" t="n">
        <v>909.54</v>
      </c>
      <c r="J1615" s="12" t="n">
        <v>0.3</v>
      </c>
      <c r="K1615" s="11" t="n">
        <v>4456.75</v>
      </c>
      <c r="L1615" s="11" t="n">
        <v>207.06</v>
      </c>
      <c r="M1615" s="12" t="n">
        <v>0.0465</v>
      </c>
    </row>
    <row r="1616">
      <c r="A1616" t="inlineStr">
        <is>
          <t>ORD-11167</t>
        </is>
      </c>
      <c r="B1616" s="10" t="inlineStr">
        <is>
          <t>2025-08-01</t>
        </is>
      </c>
      <c r="C1616" t="inlineStr">
        <is>
          <t>Customer 46</t>
        </is>
      </c>
      <c r="D1616" t="inlineStr">
        <is>
          <t>West</t>
        </is>
      </c>
      <c r="E1616" t="inlineStr">
        <is>
          <t>Office Supplies</t>
        </is>
      </c>
      <c r="F1616" t="inlineStr">
        <is>
          <t>Binder</t>
        </is>
      </c>
      <c r="G1616" t="inlineStr">
        <is>
          <t>First Class</t>
        </is>
      </c>
      <c r="H1616" t="n">
        <v>11</v>
      </c>
      <c r="I1616" s="11" t="n">
        <v>805.41</v>
      </c>
      <c r="J1616" s="12" t="n">
        <v>0</v>
      </c>
      <c r="K1616" s="11" t="n">
        <v>8859.51</v>
      </c>
      <c r="L1616" s="11" t="n">
        <v>1791.78</v>
      </c>
      <c r="M1616" s="12" t="n">
        <v>0.2022</v>
      </c>
    </row>
    <row r="1617">
      <c r="A1617" t="inlineStr">
        <is>
          <t>ORD-10710</t>
        </is>
      </c>
      <c r="B1617" s="10" t="inlineStr">
        <is>
          <t>2025-08-02</t>
        </is>
      </c>
      <c r="C1617" t="inlineStr">
        <is>
          <t>Customer 158</t>
        </is>
      </c>
      <c r="D1617" t="inlineStr">
        <is>
          <t>East</t>
        </is>
      </c>
      <c r="E1617" t="inlineStr">
        <is>
          <t>Furniture</t>
        </is>
      </c>
      <c r="F1617" t="inlineStr">
        <is>
          <t>Desk</t>
        </is>
      </c>
      <c r="G1617" t="inlineStr">
        <is>
          <t>First Class</t>
        </is>
      </c>
      <c r="H1617" t="n">
        <v>6</v>
      </c>
      <c r="I1617" s="11" t="n">
        <v>298.88</v>
      </c>
      <c r="J1617" s="12" t="n">
        <v>0</v>
      </c>
      <c r="K1617" s="11" t="n">
        <v>1793.28</v>
      </c>
      <c r="L1617" s="11" t="n">
        <v>331.02</v>
      </c>
      <c r="M1617" s="12" t="n">
        <v>0.1846</v>
      </c>
    </row>
    <row r="1618">
      <c r="A1618" t="inlineStr">
        <is>
          <t>ORD-10880</t>
        </is>
      </c>
      <c r="B1618" s="10" t="inlineStr">
        <is>
          <t>2025-08-02</t>
        </is>
      </c>
      <c r="C1618" t="inlineStr">
        <is>
          <t>Customer 30</t>
        </is>
      </c>
      <c r="D1618" t="inlineStr">
        <is>
          <t>South</t>
        </is>
      </c>
      <c r="E1618" t="inlineStr">
        <is>
          <t>Technology</t>
        </is>
      </c>
      <c r="F1618" t="inlineStr">
        <is>
          <t>Printer</t>
        </is>
      </c>
      <c r="G1618" t="inlineStr">
        <is>
          <t>Second Class</t>
        </is>
      </c>
      <c r="H1618" t="n">
        <v>7</v>
      </c>
      <c r="I1618" s="11" t="n">
        <v>363.8</v>
      </c>
      <c r="J1618" s="12" t="n">
        <v>0</v>
      </c>
      <c r="K1618" s="11" t="n">
        <v>2546.6</v>
      </c>
      <c r="L1618" s="11" t="n">
        <v>960.6900000000001</v>
      </c>
      <c r="M1618" s="12" t="n">
        <v>0.3772</v>
      </c>
    </row>
    <row r="1619">
      <c r="A1619" t="inlineStr">
        <is>
          <t>ORD-10735</t>
        </is>
      </c>
      <c r="B1619" s="10" t="inlineStr">
        <is>
          <t>2025-08-02</t>
        </is>
      </c>
      <c r="C1619" t="inlineStr">
        <is>
          <t>Customer 53</t>
        </is>
      </c>
      <c r="D1619" t="inlineStr">
        <is>
          <t>South</t>
        </is>
      </c>
      <c r="E1619" t="inlineStr">
        <is>
          <t>Furniture</t>
        </is>
      </c>
      <c r="F1619" t="inlineStr">
        <is>
          <t>Bookcase</t>
        </is>
      </c>
      <c r="G1619" t="inlineStr">
        <is>
          <t>First Class</t>
        </is>
      </c>
      <c r="H1619" t="n">
        <v>8</v>
      </c>
      <c r="I1619" s="11" t="n">
        <v>703.4400000000001</v>
      </c>
      <c r="J1619" s="12" t="n">
        <v>0</v>
      </c>
      <c r="K1619" s="11" t="n">
        <v>5627.52</v>
      </c>
      <c r="L1619" s="11" t="n">
        <v>1721.76</v>
      </c>
      <c r="M1619" s="12" t="n">
        <v>0.306</v>
      </c>
    </row>
    <row r="1620">
      <c r="A1620" t="inlineStr">
        <is>
          <t>ORD-10138</t>
        </is>
      </c>
      <c r="B1620" s="10" t="inlineStr">
        <is>
          <t>2025-08-02</t>
        </is>
      </c>
      <c r="C1620" t="inlineStr">
        <is>
          <t>Customer 107</t>
        </is>
      </c>
      <c r="D1620" t="inlineStr">
        <is>
          <t>West</t>
        </is>
      </c>
      <c r="E1620" t="inlineStr">
        <is>
          <t>Furniture</t>
        </is>
      </c>
      <c r="F1620" t="inlineStr">
        <is>
          <t>Table Lamp</t>
        </is>
      </c>
      <c r="G1620" t="inlineStr">
        <is>
          <t>First Class</t>
        </is>
      </c>
      <c r="H1620" t="n">
        <v>8</v>
      </c>
      <c r="I1620" s="11" t="n">
        <v>258.29</v>
      </c>
      <c r="J1620" s="12" t="n">
        <v>0.2</v>
      </c>
      <c r="K1620" s="11" t="n">
        <v>1653.06</v>
      </c>
      <c r="L1620" s="11" t="n">
        <v>303.14</v>
      </c>
      <c r="M1620" s="12" t="n">
        <v>0.1834</v>
      </c>
    </row>
    <row r="1621">
      <c r="A1621" t="inlineStr">
        <is>
          <t>ORD-10519</t>
        </is>
      </c>
      <c r="B1621" s="10" t="inlineStr">
        <is>
          <t>2025-08-02</t>
        </is>
      </c>
      <c r="C1621" t="inlineStr">
        <is>
          <t>Customer 24</t>
        </is>
      </c>
      <c r="D1621" t="inlineStr">
        <is>
          <t>West</t>
        </is>
      </c>
      <c r="E1621" t="inlineStr">
        <is>
          <t>Furniture</t>
        </is>
      </c>
      <c r="F1621" t="inlineStr">
        <is>
          <t>Desk</t>
        </is>
      </c>
      <c r="G1621" t="inlineStr">
        <is>
          <t>Second Class</t>
        </is>
      </c>
      <c r="H1621" t="n">
        <v>4</v>
      </c>
      <c r="I1621" s="11" t="n">
        <v>1160.28</v>
      </c>
      <c r="J1621" s="12" t="n">
        <v>0</v>
      </c>
      <c r="K1621" s="11" t="n">
        <v>4641.12</v>
      </c>
      <c r="L1621" s="11" t="n">
        <v>1594.25</v>
      </c>
      <c r="M1621" s="12" t="n">
        <v>0.3435</v>
      </c>
    </row>
    <row r="1622">
      <c r="A1622" t="inlineStr">
        <is>
          <t>ORD-11598</t>
        </is>
      </c>
      <c r="B1622" s="10" t="inlineStr">
        <is>
          <t>2025-08-03</t>
        </is>
      </c>
      <c r="C1622" t="inlineStr">
        <is>
          <t>Customer 194</t>
        </is>
      </c>
      <c r="D1622" t="inlineStr">
        <is>
          <t>South</t>
        </is>
      </c>
      <c r="E1622" t="inlineStr">
        <is>
          <t>Furniture</t>
        </is>
      </c>
      <c r="F1622" t="inlineStr">
        <is>
          <t>Chair</t>
        </is>
      </c>
      <c r="G1622" t="inlineStr">
        <is>
          <t>Standard Class</t>
        </is>
      </c>
      <c r="H1622" t="n">
        <v>5</v>
      </c>
      <c r="I1622" s="11" t="n">
        <v>776.63</v>
      </c>
      <c r="J1622" s="12" t="n">
        <v>0</v>
      </c>
      <c r="K1622" s="11" t="n">
        <v>3883.15</v>
      </c>
      <c r="L1622" s="11" t="n">
        <v>1078.33</v>
      </c>
      <c r="M1622" s="12" t="n">
        <v>0.2777</v>
      </c>
    </row>
    <row r="1623">
      <c r="A1623" t="inlineStr">
        <is>
          <t>ORD-11845</t>
        </is>
      </c>
      <c r="B1623" s="10" t="inlineStr">
        <is>
          <t>2025-08-03</t>
        </is>
      </c>
      <c r="C1623" t="inlineStr">
        <is>
          <t>Customer 143</t>
        </is>
      </c>
      <c r="D1623" t="inlineStr">
        <is>
          <t>South</t>
        </is>
      </c>
      <c r="E1623" t="inlineStr">
        <is>
          <t>Technology</t>
        </is>
      </c>
      <c r="F1623" t="inlineStr">
        <is>
          <t>Printer</t>
        </is>
      </c>
      <c r="G1623" t="inlineStr">
        <is>
          <t>First Class</t>
        </is>
      </c>
      <c r="H1623" t="n">
        <v>2</v>
      </c>
      <c r="I1623" s="11" t="n">
        <v>92.23999999999999</v>
      </c>
      <c r="J1623" s="12" t="n">
        <v>0</v>
      </c>
      <c r="K1623" s="11" t="n">
        <v>184.48</v>
      </c>
      <c r="L1623" s="11" t="n">
        <v>59.94</v>
      </c>
      <c r="M1623" s="12" t="n">
        <v>0.3249</v>
      </c>
    </row>
    <row r="1624">
      <c r="A1624" t="inlineStr">
        <is>
          <t>ORD-11508</t>
        </is>
      </c>
      <c r="B1624" s="10" t="inlineStr">
        <is>
          <t>2025-08-04</t>
        </is>
      </c>
      <c r="C1624" t="inlineStr">
        <is>
          <t>Customer 23</t>
        </is>
      </c>
      <c r="D1624" t="inlineStr">
        <is>
          <t>North</t>
        </is>
      </c>
      <c r="E1624" t="inlineStr">
        <is>
          <t>Technology</t>
        </is>
      </c>
      <c r="F1624" t="inlineStr">
        <is>
          <t>Printer</t>
        </is>
      </c>
      <c r="G1624" t="inlineStr">
        <is>
          <t>Standard Class</t>
        </is>
      </c>
      <c r="H1624" t="n">
        <v>11</v>
      </c>
      <c r="I1624" s="11" t="n">
        <v>833.05</v>
      </c>
      <c r="J1624" s="12" t="n">
        <v>0.2</v>
      </c>
      <c r="K1624" s="11" t="n">
        <v>7330.84</v>
      </c>
      <c r="L1624" s="11" t="n">
        <v>2025.88</v>
      </c>
      <c r="M1624" s="12" t="n">
        <v>0.2764</v>
      </c>
    </row>
    <row r="1625">
      <c r="A1625" t="inlineStr">
        <is>
          <t>ORD-11902</t>
        </is>
      </c>
      <c r="B1625" s="10" t="inlineStr">
        <is>
          <t>2025-08-04</t>
        </is>
      </c>
      <c r="C1625" t="inlineStr">
        <is>
          <t>Customer 17</t>
        </is>
      </c>
      <c r="D1625" t="inlineStr">
        <is>
          <t>East</t>
        </is>
      </c>
      <c r="E1625" t="inlineStr">
        <is>
          <t>Office Supplies</t>
        </is>
      </c>
      <c r="F1625" t="inlineStr">
        <is>
          <t>Binder</t>
        </is>
      </c>
      <c r="G1625" t="inlineStr">
        <is>
          <t>Standard Class</t>
        </is>
      </c>
      <c r="H1625" t="n">
        <v>4</v>
      </c>
      <c r="I1625" s="11" t="n">
        <v>163.89</v>
      </c>
      <c r="J1625" s="12" t="n">
        <v>0.15</v>
      </c>
      <c r="K1625" s="11" t="n">
        <v>557.23</v>
      </c>
      <c r="L1625" s="11" t="n">
        <v>148.55</v>
      </c>
      <c r="M1625" s="12" t="n">
        <v>0.2666</v>
      </c>
    </row>
    <row r="1626">
      <c r="A1626" t="inlineStr">
        <is>
          <t>ORD-10139</t>
        </is>
      </c>
      <c r="B1626" s="10" t="inlineStr">
        <is>
          <t>2025-08-05</t>
        </is>
      </c>
      <c r="C1626" t="inlineStr">
        <is>
          <t>Customer 25</t>
        </is>
      </c>
      <c r="D1626" t="inlineStr">
        <is>
          <t>West</t>
        </is>
      </c>
      <c r="E1626" t="inlineStr">
        <is>
          <t>Furniture</t>
        </is>
      </c>
      <c r="F1626" t="inlineStr">
        <is>
          <t>Bookcase</t>
        </is>
      </c>
      <c r="G1626" t="inlineStr">
        <is>
          <t>Second Class</t>
        </is>
      </c>
      <c r="H1626" t="n">
        <v>11</v>
      </c>
      <c r="I1626" s="11" t="n">
        <v>340.67</v>
      </c>
      <c r="J1626" s="12" t="n">
        <v>0</v>
      </c>
      <c r="K1626" s="11" t="n">
        <v>3747.37</v>
      </c>
      <c r="L1626" s="11" t="n">
        <v>1272.64</v>
      </c>
      <c r="M1626" s="12" t="n">
        <v>0.3396</v>
      </c>
    </row>
    <row r="1627">
      <c r="A1627" t="inlineStr">
        <is>
          <t>ORD-11334</t>
        </is>
      </c>
      <c r="B1627" s="10" t="inlineStr">
        <is>
          <t>2025-08-05</t>
        </is>
      </c>
      <c r="C1627" t="inlineStr">
        <is>
          <t>Customer 88</t>
        </is>
      </c>
      <c r="D1627" t="inlineStr">
        <is>
          <t>South</t>
        </is>
      </c>
      <c r="E1627" t="inlineStr">
        <is>
          <t>Office Supplies</t>
        </is>
      </c>
      <c r="F1627" t="inlineStr">
        <is>
          <t>Binder</t>
        </is>
      </c>
      <c r="G1627" t="inlineStr">
        <is>
          <t>Standard Class</t>
        </is>
      </c>
      <c r="H1627" t="n">
        <v>2</v>
      </c>
      <c r="I1627" s="11" t="n">
        <v>1181.49</v>
      </c>
      <c r="J1627" s="12" t="n">
        <v>0</v>
      </c>
      <c r="K1627" s="11" t="n">
        <v>2362.98</v>
      </c>
      <c r="L1627" s="11" t="n">
        <v>1116.1</v>
      </c>
      <c r="M1627" s="12" t="n">
        <v>0.4723</v>
      </c>
    </row>
    <row r="1628">
      <c r="A1628" t="inlineStr">
        <is>
          <t>ORD-11227</t>
        </is>
      </c>
      <c r="B1628" s="10" t="inlineStr">
        <is>
          <t>2025-08-05</t>
        </is>
      </c>
      <c r="C1628" t="inlineStr">
        <is>
          <t>Customer 200</t>
        </is>
      </c>
      <c r="D1628" t="inlineStr">
        <is>
          <t>West</t>
        </is>
      </c>
      <c r="E1628" t="inlineStr">
        <is>
          <t>Office Supplies</t>
        </is>
      </c>
      <c r="F1628" t="inlineStr">
        <is>
          <t>Paper</t>
        </is>
      </c>
      <c r="G1628" t="inlineStr">
        <is>
          <t>Standard Class</t>
        </is>
      </c>
      <c r="H1628" t="n">
        <v>5</v>
      </c>
      <c r="I1628" s="11" t="n">
        <v>642.66</v>
      </c>
      <c r="J1628" s="12" t="n">
        <v>0</v>
      </c>
      <c r="K1628" s="11" t="n">
        <v>3213.3</v>
      </c>
      <c r="L1628" s="11" t="n">
        <v>1101.54</v>
      </c>
      <c r="M1628" s="12" t="n">
        <v>0.3428</v>
      </c>
    </row>
    <row r="1629">
      <c r="A1629" t="inlineStr">
        <is>
          <t>ORD-10527</t>
        </is>
      </c>
      <c r="B1629" s="10" t="inlineStr">
        <is>
          <t>2025-08-06</t>
        </is>
      </c>
      <c r="C1629" t="inlineStr">
        <is>
          <t>Customer 163</t>
        </is>
      </c>
      <c r="D1629" t="inlineStr">
        <is>
          <t>South</t>
        </is>
      </c>
      <c r="E1629" t="inlineStr">
        <is>
          <t>Office Supplies</t>
        </is>
      </c>
      <c r="F1629" t="inlineStr">
        <is>
          <t>Stapler</t>
        </is>
      </c>
      <c r="G1629" t="inlineStr">
        <is>
          <t>Same Day</t>
        </is>
      </c>
      <c r="H1629" t="n">
        <v>6</v>
      </c>
      <c r="I1629" s="11" t="n">
        <v>1042.55</v>
      </c>
      <c r="J1629" s="12" t="n">
        <v>0</v>
      </c>
      <c r="K1629" s="11" t="n">
        <v>6255.3</v>
      </c>
      <c r="L1629" s="11" t="n">
        <v>2293.64</v>
      </c>
      <c r="M1629" s="12" t="n">
        <v>0.3667</v>
      </c>
    </row>
    <row r="1630">
      <c r="A1630" t="inlineStr">
        <is>
          <t>ORD-10899</t>
        </is>
      </c>
      <c r="B1630" s="10" t="inlineStr">
        <is>
          <t>2025-08-06</t>
        </is>
      </c>
      <c r="C1630" t="inlineStr">
        <is>
          <t>Customer 189</t>
        </is>
      </c>
      <c r="D1630" t="inlineStr">
        <is>
          <t>North</t>
        </is>
      </c>
      <c r="E1630" t="inlineStr">
        <is>
          <t>Technology</t>
        </is>
      </c>
      <c r="F1630" t="inlineStr">
        <is>
          <t>Printer</t>
        </is>
      </c>
      <c r="G1630" t="inlineStr">
        <is>
          <t>Second Class</t>
        </is>
      </c>
      <c r="H1630" t="n">
        <v>8</v>
      </c>
      <c r="I1630" s="11" t="n">
        <v>1004.05</v>
      </c>
      <c r="J1630" s="12" t="n">
        <v>0.1</v>
      </c>
      <c r="K1630" s="11" t="n">
        <v>7229.16</v>
      </c>
      <c r="L1630" s="11" t="n">
        <v>1542.12</v>
      </c>
      <c r="M1630" s="12" t="n">
        <v>0.2133</v>
      </c>
    </row>
    <row r="1631">
      <c r="A1631" t="inlineStr">
        <is>
          <t>ORD-11694</t>
        </is>
      </c>
      <c r="B1631" s="10" t="inlineStr">
        <is>
          <t>2025-08-06</t>
        </is>
      </c>
      <c r="C1631" t="inlineStr">
        <is>
          <t>Customer 110</t>
        </is>
      </c>
      <c r="D1631" t="inlineStr">
        <is>
          <t>East</t>
        </is>
      </c>
      <c r="E1631" t="inlineStr">
        <is>
          <t>Furniture</t>
        </is>
      </c>
      <c r="F1631" t="inlineStr">
        <is>
          <t>Chair</t>
        </is>
      </c>
      <c r="G1631" t="inlineStr">
        <is>
          <t>Second Class</t>
        </is>
      </c>
      <c r="H1631" t="n">
        <v>2</v>
      </c>
      <c r="I1631" s="11" t="n">
        <v>542.89</v>
      </c>
      <c r="J1631" s="12" t="n">
        <v>0</v>
      </c>
      <c r="K1631" s="11" t="n">
        <v>1085.78</v>
      </c>
      <c r="L1631" s="11" t="n">
        <v>405.4</v>
      </c>
      <c r="M1631" s="12" t="n">
        <v>0.3734</v>
      </c>
    </row>
    <row r="1632">
      <c r="A1632" t="inlineStr">
        <is>
          <t>ORD-11852</t>
        </is>
      </c>
      <c r="B1632" s="10" t="inlineStr">
        <is>
          <t>2025-08-07</t>
        </is>
      </c>
      <c r="C1632" t="inlineStr">
        <is>
          <t>Customer 97</t>
        </is>
      </c>
      <c r="D1632" t="inlineStr">
        <is>
          <t>North</t>
        </is>
      </c>
      <c r="E1632" t="inlineStr">
        <is>
          <t>Technology</t>
        </is>
      </c>
      <c r="F1632" t="inlineStr">
        <is>
          <t>Monitor</t>
        </is>
      </c>
      <c r="G1632" t="inlineStr">
        <is>
          <t>Same Day</t>
        </is>
      </c>
      <c r="H1632" t="n">
        <v>1</v>
      </c>
      <c r="I1632" s="11" t="n">
        <v>1044.92</v>
      </c>
      <c r="J1632" s="12" t="n">
        <v>0</v>
      </c>
      <c r="K1632" s="11" t="n">
        <v>1044.92</v>
      </c>
      <c r="L1632" s="11" t="n">
        <v>346.8</v>
      </c>
      <c r="M1632" s="12" t="n">
        <v>0.3319</v>
      </c>
    </row>
    <row r="1633">
      <c r="A1633" t="inlineStr">
        <is>
          <t>ORD-10038</t>
        </is>
      </c>
      <c r="B1633" s="10" t="inlineStr">
        <is>
          <t>2025-08-07</t>
        </is>
      </c>
      <c r="C1633" t="inlineStr">
        <is>
          <t>Customer 113</t>
        </is>
      </c>
      <c r="D1633" t="inlineStr">
        <is>
          <t>East</t>
        </is>
      </c>
      <c r="E1633" t="inlineStr">
        <is>
          <t>Office Supplies</t>
        </is>
      </c>
      <c r="F1633" t="inlineStr">
        <is>
          <t>Pens (Box)</t>
        </is>
      </c>
      <c r="G1633" t="inlineStr">
        <is>
          <t>Same Day</t>
        </is>
      </c>
      <c r="H1633" t="n">
        <v>2</v>
      </c>
      <c r="I1633" s="11" t="n">
        <v>714.45</v>
      </c>
      <c r="J1633" s="12" t="n">
        <v>0.1</v>
      </c>
      <c r="K1633" s="11" t="n">
        <v>1286.01</v>
      </c>
      <c r="L1633" s="11" t="n">
        <v>173.91</v>
      </c>
      <c r="M1633" s="12" t="n">
        <v>0.1352</v>
      </c>
    </row>
    <row r="1634">
      <c r="A1634" t="inlineStr">
        <is>
          <t>ORD-10084</t>
        </is>
      </c>
      <c r="B1634" s="10" t="inlineStr">
        <is>
          <t>2025-08-07</t>
        </is>
      </c>
      <c r="C1634" t="inlineStr">
        <is>
          <t>Customer 24</t>
        </is>
      </c>
      <c r="D1634" t="inlineStr">
        <is>
          <t>West</t>
        </is>
      </c>
      <c r="E1634" t="inlineStr">
        <is>
          <t>Office Supplies</t>
        </is>
      </c>
      <c r="F1634" t="inlineStr">
        <is>
          <t>Stapler</t>
        </is>
      </c>
      <c r="G1634" t="inlineStr">
        <is>
          <t>Same Day</t>
        </is>
      </c>
      <c r="H1634" t="n">
        <v>5</v>
      </c>
      <c r="I1634" s="11" t="n">
        <v>63.51</v>
      </c>
      <c r="J1634" s="12" t="n">
        <v>0</v>
      </c>
      <c r="K1634" s="11" t="n">
        <v>317.55</v>
      </c>
      <c r="L1634" s="11" t="n">
        <v>89.66</v>
      </c>
      <c r="M1634" s="12" t="n">
        <v>0.2823</v>
      </c>
    </row>
    <row r="1635">
      <c r="A1635" t="inlineStr">
        <is>
          <t>ORD-10790</t>
        </is>
      </c>
      <c r="B1635" s="10" t="inlineStr">
        <is>
          <t>2025-08-07</t>
        </is>
      </c>
      <c r="C1635" t="inlineStr">
        <is>
          <t>Customer 150</t>
        </is>
      </c>
      <c r="D1635" t="inlineStr">
        <is>
          <t>North</t>
        </is>
      </c>
      <c r="E1635" t="inlineStr">
        <is>
          <t>Furniture</t>
        </is>
      </c>
      <c r="F1635" t="inlineStr">
        <is>
          <t>Chair</t>
        </is>
      </c>
      <c r="G1635" t="inlineStr">
        <is>
          <t>First Class</t>
        </is>
      </c>
      <c r="H1635" t="n">
        <v>11</v>
      </c>
      <c r="I1635" s="11" t="n">
        <v>1098.95</v>
      </c>
      <c r="J1635" s="12" t="n">
        <v>0</v>
      </c>
      <c r="K1635" s="11" t="n">
        <v>12088.45</v>
      </c>
      <c r="L1635" s="11" t="n">
        <v>4330.57</v>
      </c>
      <c r="M1635" s="12" t="n">
        <v>0.3582</v>
      </c>
    </row>
    <row r="1636">
      <c r="A1636" t="inlineStr">
        <is>
          <t>ORD-11642</t>
        </is>
      </c>
      <c r="B1636" s="10" t="inlineStr">
        <is>
          <t>2025-08-07</t>
        </is>
      </c>
      <c r="C1636" t="inlineStr">
        <is>
          <t>Customer 66</t>
        </is>
      </c>
      <c r="D1636" t="inlineStr">
        <is>
          <t>South</t>
        </is>
      </c>
      <c r="E1636" t="inlineStr">
        <is>
          <t>Technology</t>
        </is>
      </c>
      <c r="F1636" t="inlineStr">
        <is>
          <t>Monitor</t>
        </is>
      </c>
      <c r="G1636" t="inlineStr">
        <is>
          <t>Second Class</t>
        </is>
      </c>
      <c r="H1636" t="n">
        <v>7</v>
      </c>
      <c r="I1636" s="11" t="n">
        <v>956.41</v>
      </c>
      <c r="J1636" s="12" t="n">
        <v>0</v>
      </c>
      <c r="K1636" s="11" t="n">
        <v>6694.87</v>
      </c>
      <c r="L1636" s="11" t="n">
        <v>2639.11</v>
      </c>
      <c r="M1636" s="12" t="n">
        <v>0.3942</v>
      </c>
    </row>
    <row r="1637">
      <c r="A1637" t="inlineStr">
        <is>
          <t>ORD-10866</t>
        </is>
      </c>
      <c r="B1637" s="10" t="inlineStr">
        <is>
          <t>2025-08-07</t>
        </is>
      </c>
      <c r="C1637" t="inlineStr">
        <is>
          <t>Customer 31</t>
        </is>
      </c>
      <c r="D1637" t="inlineStr">
        <is>
          <t>South</t>
        </is>
      </c>
      <c r="E1637" t="inlineStr">
        <is>
          <t>Office Supplies</t>
        </is>
      </c>
      <c r="F1637" t="inlineStr">
        <is>
          <t>Pens (Box)</t>
        </is>
      </c>
      <c r="G1637" t="inlineStr">
        <is>
          <t>Same Day</t>
        </is>
      </c>
      <c r="H1637" t="n">
        <v>11</v>
      </c>
      <c r="I1637" s="11" t="n">
        <v>1058.47</v>
      </c>
      <c r="J1637" s="12" t="n">
        <v>0.1</v>
      </c>
      <c r="K1637" s="11" t="n">
        <v>10478.85</v>
      </c>
      <c r="L1637" s="11" t="n">
        <v>3342.89</v>
      </c>
      <c r="M1637" s="12" t="n">
        <v>0.319</v>
      </c>
    </row>
    <row r="1638">
      <c r="A1638" t="inlineStr">
        <is>
          <t>ORD-10368</t>
        </is>
      </c>
      <c r="B1638" s="10" t="inlineStr">
        <is>
          <t>2025-08-08</t>
        </is>
      </c>
      <c r="C1638" t="inlineStr">
        <is>
          <t>Customer 38</t>
        </is>
      </c>
      <c r="D1638" t="inlineStr">
        <is>
          <t>West</t>
        </is>
      </c>
      <c r="E1638" t="inlineStr">
        <is>
          <t>Office Supplies</t>
        </is>
      </c>
      <c r="F1638" t="inlineStr">
        <is>
          <t>Pens (Box)</t>
        </is>
      </c>
      <c r="G1638" t="inlineStr">
        <is>
          <t>Standard Class</t>
        </is>
      </c>
      <c r="H1638" t="n">
        <v>6</v>
      </c>
      <c r="I1638" s="11" t="n">
        <v>598.415</v>
      </c>
      <c r="J1638" s="12" t="n">
        <v>0</v>
      </c>
      <c r="K1638" s="11" t="n">
        <v>1236.87</v>
      </c>
      <c r="L1638" s="11" t="n">
        <v>203.24</v>
      </c>
      <c r="M1638" s="12" t="n">
        <v>0.1643</v>
      </c>
    </row>
    <row r="1639">
      <c r="A1639" t="inlineStr">
        <is>
          <t>ORD-11301</t>
        </is>
      </c>
      <c r="B1639" s="10" t="inlineStr">
        <is>
          <t>2025-08-08</t>
        </is>
      </c>
      <c r="C1639" t="inlineStr">
        <is>
          <t>Customer 162</t>
        </is>
      </c>
      <c r="D1639" t="inlineStr">
        <is>
          <t>East</t>
        </is>
      </c>
      <c r="E1639" t="inlineStr">
        <is>
          <t>Technology</t>
        </is>
      </c>
      <c r="F1639" t="inlineStr">
        <is>
          <t>Monitor</t>
        </is>
      </c>
      <c r="G1639" t="inlineStr">
        <is>
          <t>Second Class</t>
        </is>
      </c>
      <c r="H1639" t="n">
        <v>8</v>
      </c>
      <c r="I1639" s="11" t="n">
        <v>960</v>
      </c>
      <c r="J1639" s="12" t="n">
        <v>0.1</v>
      </c>
      <c r="K1639" s="11" t="n">
        <v>6912</v>
      </c>
      <c r="L1639" s="11" t="n">
        <v>943.71</v>
      </c>
      <c r="M1639" s="12" t="n">
        <v>0.1365</v>
      </c>
    </row>
    <row r="1640">
      <c r="A1640" t="inlineStr">
        <is>
          <t>ORD-11271</t>
        </is>
      </c>
      <c r="B1640" s="10" t="inlineStr">
        <is>
          <t>2025-08-09</t>
        </is>
      </c>
      <c r="C1640" t="inlineStr">
        <is>
          <t>Customer 1</t>
        </is>
      </c>
      <c r="D1640" t="inlineStr">
        <is>
          <t>North</t>
        </is>
      </c>
      <c r="E1640" t="inlineStr">
        <is>
          <t>Office Supplies</t>
        </is>
      </c>
      <c r="F1640" t="inlineStr">
        <is>
          <t>Paper</t>
        </is>
      </c>
      <c r="G1640" t="inlineStr">
        <is>
          <t>First Class</t>
        </is>
      </c>
      <c r="H1640" t="n">
        <v>8</v>
      </c>
      <c r="I1640" s="11" t="n">
        <v>143.05</v>
      </c>
      <c r="J1640" s="12" t="n">
        <v>0.15</v>
      </c>
      <c r="K1640" s="11" t="n">
        <v>972.74</v>
      </c>
      <c r="L1640" s="11" t="n">
        <v>336.18</v>
      </c>
      <c r="M1640" s="12" t="n">
        <v>0.3456</v>
      </c>
    </row>
    <row r="1641">
      <c r="A1641" t="inlineStr">
        <is>
          <t>ORD-10077</t>
        </is>
      </c>
      <c r="B1641" s="10" t="inlineStr">
        <is>
          <t>2025-08-09</t>
        </is>
      </c>
      <c r="C1641" t="inlineStr">
        <is>
          <t>Customer 151</t>
        </is>
      </c>
      <c r="D1641" t="inlineStr">
        <is>
          <t>West</t>
        </is>
      </c>
      <c r="E1641" t="inlineStr">
        <is>
          <t>Furniture</t>
        </is>
      </c>
      <c r="F1641" t="inlineStr">
        <is>
          <t>Desk</t>
        </is>
      </c>
      <c r="G1641" t="inlineStr">
        <is>
          <t>Same Day</t>
        </is>
      </c>
      <c r="H1641" t="n">
        <v>4</v>
      </c>
      <c r="I1641" s="11" t="n">
        <v>845.12</v>
      </c>
      <c r="J1641" s="12" t="n">
        <v>0</v>
      </c>
      <c r="K1641" s="11" t="n">
        <v>3380.48</v>
      </c>
      <c r="L1641" s="11" t="n">
        <v>528.6</v>
      </c>
      <c r="M1641" s="12" t="n">
        <v>0.1564</v>
      </c>
    </row>
    <row r="1642">
      <c r="A1642" t="inlineStr">
        <is>
          <t>ORD-10954</t>
        </is>
      </c>
      <c r="B1642" s="10" t="inlineStr">
        <is>
          <t>2025-08-10</t>
        </is>
      </c>
      <c r="C1642" t="inlineStr">
        <is>
          <t>Customer 68</t>
        </is>
      </c>
      <c r="D1642" t="inlineStr">
        <is>
          <t>South</t>
        </is>
      </c>
      <c r="E1642" t="inlineStr">
        <is>
          <t>Furniture</t>
        </is>
      </c>
      <c r="F1642" t="inlineStr">
        <is>
          <t>Table Lamp</t>
        </is>
      </c>
      <c r="G1642" t="inlineStr">
        <is>
          <t>Standard Class</t>
        </is>
      </c>
      <c r="H1642" t="n">
        <v>4</v>
      </c>
      <c r="I1642" s="11" t="n">
        <v>775.03</v>
      </c>
      <c r="J1642" s="12" t="n">
        <v>0</v>
      </c>
      <c r="K1642" s="11" t="n">
        <v>3100.12</v>
      </c>
      <c r="L1642" s="11" t="n">
        <v>502.83</v>
      </c>
      <c r="M1642" s="12" t="n">
        <v>0.1622</v>
      </c>
    </row>
    <row r="1643">
      <c r="A1643" t="inlineStr">
        <is>
          <t>ORD-10180</t>
        </is>
      </c>
      <c r="B1643" s="10" t="inlineStr">
        <is>
          <t>2025-08-11</t>
        </is>
      </c>
      <c r="C1643" t="inlineStr">
        <is>
          <t>Customer 33</t>
        </is>
      </c>
      <c r="D1643" t="inlineStr">
        <is>
          <t>North</t>
        </is>
      </c>
      <c r="E1643" t="inlineStr">
        <is>
          <t>Furniture</t>
        </is>
      </c>
      <c r="F1643" t="inlineStr">
        <is>
          <t>Bookcase</t>
        </is>
      </c>
      <c r="G1643" t="inlineStr">
        <is>
          <t>Second Class</t>
        </is>
      </c>
      <c r="H1643" t="n">
        <v>11</v>
      </c>
      <c r="I1643" s="11" t="n">
        <v>208.56</v>
      </c>
      <c r="J1643" s="12" t="n">
        <v>0.3</v>
      </c>
      <c r="K1643" s="11" t="n">
        <v>1605.91</v>
      </c>
      <c r="L1643" s="11" t="n">
        <v>58.44</v>
      </c>
      <c r="M1643" s="12" t="n">
        <v>0.0364</v>
      </c>
    </row>
    <row r="1644">
      <c r="A1644" t="inlineStr">
        <is>
          <t>ORD-10538</t>
        </is>
      </c>
      <c r="B1644" s="10" t="inlineStr">
        <is>
          <t>2025-08-11</t>
        </is>
      </c>
      <c r="C1644" t="inlineStr">
        <is>
          <t>Customer 182</t>
        </is>
      </c>
      <c r="D1644" t="inlineStr">
        <is>
          <t>North</t>
        </is>
      </c>
      <c r="E1644" t="inlineStr">
        <is>
          <t>Furniture</t>
        </is>
      </c>
      <c r="F1644" t="inlineStr">
        <is>
          <t>Desk</t>
        </is>
      </c>
      <c r="G1644" t="inlineStr">
        <is>
          <t>Same Day</t>
        </is>
      </c>
      <c r="H1644" t="n">
        <v>3</v>
      </c>
      <c r="I1644" s="11" t="n">
        <v>108.73</v>
      </c>
      <c r="J1644" s="12" t="n">
        <v>0</v>
      </c>
      <c r="K1644" s="11" t="n">
        <v>326.19</v>
      </c>
      <c r="L1644" s="11" t="n">
        <v>49.19</v>
      </c>
      <c r="M1644" s="12" t="n">
        <v>0.1508</v>
      </c>
    </row>
    <row r="1645">
      <c r="A1645" t="inlineStr">
        <is>
          <t>ORD-11766</t>
        </is>
      </c>
      <c r="B1645" s="10" t="inlineStr">
        <is>
          <t>2025-08-11</t>
        </is>
      </c>
      <c r="C1645" t="inlineStr">
        <is>
          <t>Customer 199</t>
        </is>
      </c>
      <c r="D1645" t="inlineStr">
        <is>
          <t>South</t>
        </is>
      </c>
      <c r="E1645" t="inlineStr">
        <is>
          <t>Furniture</t>
        </is>
      </c>
      <c r="F1645" t="inlineStr">
        <is>
          <t>Table Lamp</t>
        </is>
      </c>
      <c r="G1645" t="inlineStr">
        <is>
          <t>First Class</t>
        </is>
      </c>
      <c r="H1645" t="n">
        <v>6</v>
      </c>
      <c r="I1645" s="11" t="n">
        <v>86.27</v>
      </c>
      <c r="J1645" s="12" t="n">
        <v>0</v>
      </c>
      <c r="K1645" s="11" t="n">
        <v>517.62</v>
      </c>
      <c r="L1645" s="11" t="n">
        <v>219.13</v>
      </c>
      <c r="M1645" s="12" t="n">
        <v>0.4233</v>
      </c>
    </row>
    <row r="1646">
      <c r="A1646" t="inlineStr">
        <is>
          <t>ORD-10404</t>
        </is>
      </c>
      <c r="B1646" s="10" t="inlineStr">
        <is>
          <t>2025-08-12</t>
        </is>
      </c>
      <c r="C1646" t="inlineStr">
        <is>
          <t>Customer 103</t>
        </is>
      </c>
      <c r="D1646" t="inlineStr">
        <is>
          <t>West</t>
        </is>
      </c>
      <c r="E1646" t="inlineStr">
        <is>
          <t>Technology</t>
        </is>
      </c>
      <c r="F1646" t="inlineStr">
        <is>
          <t>Printer</t>
        </is>
      </c>
      <c r="G1646" t="inlineStr">
        <is>
          <t>First Class</t>
        </is>
      </c>
      <c r="H1646" t="n">
        <v>11</v>
      </c>
      <c r="I1646" s="11" t="n">
        <v>429.56</v>
      </c>
      <c r="J1646" s="12" t="n">
        <v>0</v>
      </c>
      <c r="K1646" s="11" t="n">
        <v>4725.16</v>
      </c>
      <c r="L1646" s="11" t="n">
        <v>2084.84</v>
      </c>
      <c r="M1646" s="12" t="n">
        <v>0.4412</v>
      </c>
    </row>
    <row r="1647">
      <c r="A1647" t="inlineStr">
        <is>
          <t>ORD-11187</t>
        </is>
      </c>
      <c r="B1647" s="10" t="inlineStr">
        <is>
          <t>2025-08-12</t>
        </is>
      </c>
      <c r="C1647" t="inlineStr">
        <is>
          <t>Customer 39</t>
        </is>
      </c>
      <c r="D1647" t="inlineStr">
        <is>
          <t>South</t>
        </is>
      </c>
      <c r="E1647" t="inlineStr">
        <is>
          <t>Furniture</t>
        </is>
      </c>
      <c r="F1647" t="inlineStr">
        <is>
          <t>Table Lamp</t>
        </is>
      </c>
      <c r="G1647" t="inlineStr">
        <is>
          <t>First Class</t>
        </is>
      </c>
      <c r="H1647" t="n">
        <v>2</v>
      </c>
      <c r="I1647" s="11" t="n">
        <v>708.6</v>
      </c>
      <c r="J1647" s="12" t="n">
        <v>0.1</v>
      </c>
      <c r="K1647" s="11" t="n">
        <v>1275.48</v>
      </c>
      <c r="L1647" s="11" t="n">
        <v>442.54</v>
      </c>
      <c r="M1647" s="12" t="n">
        <v>0.347</v>
      </c>
    </row>
    <row r="1648">
      <c r="A1648" t="inlineStr">
        <is>
          <t>ORD-10151</t>
        </is>
      </c>
      <c r="B1648" s="10" t="inlineStr">
        <is>
          <t>2025-08-13</t>
        </is>
      </c>
      <c r="C1648" t="inlineStr">
        <is>
          <t>Customer 184</t>
        </is>
      </c>
      <c r="D1648" t="inlineStr">
        <is>
          <t>East</t>
        </is>
      </c>
      <c r="E1648" t="inlineStr">
        <is>
          <t>Furniture</t>
        </is>
      </c>
      <c r="F1648" t="inlineStr">
        <is>
          <t>Table Lamp</t>
        </is>
      </c>
      <c r="G1648" t="inlineStr">
        <is>
          <t>Second Class</t>
        </is>
      </c>
      <c r="H1648" t="n">
        <v>6</v>
      </c>
      <c r="I1648" s="11" t="n">
        <v>590.34</v>
      </c>
      <c r="J1648" s="12" t="n">
        <v>0</v>
      </c>
      <c r="K1648" s="11" t="n">
        <v>3542.04</v>
      </c>
      <c r="L1648" s="11" t="n">
        <v>1356.82</v>
      </c>
      <c r="M1648" s="12" t="n">
        <v>0.3831</v>
      </c>
    </row>
    <row r="1649">
      <c r="A1649" t="inlineStr">
        <is>
          <t>ORD-11941</t>
        </is>
      </c>
      <c r="B1649" s="10" t="inlineStr">
        <is>
          <t>2025-08-13</t>
        </is>
      </c>
      <c r="C1649" t="inlineStr">
        <is>
          <t>Customer 103</t>
        </is>
      </c>
      <c r="D1649" t="inlineStr">
        <is>
          <t>West</t>
        </is>
      </c>
      <c r="E1649" t="inlineStr">
        <is>
          <t>Technology</t>
        </is>
      </c>
      <c r="F1649" t="inlineStr">
        <is>
          <t>Monitor</t>
        </is>
      </c>
      <c r="G1649" t="inlineStr">
        <is>
          <t>Standard Class</t>
        </is>
      </c>
      <c r="H1649" t="n">
        <v>3</v>
      </c>
      <c r="I1649" s="11" t="n">
        <v>789.51</v>
      </c>
      <c r="J1649" s="12" t="n">
        <v>0</v>
      </c>
      <c r="K1649" s="11" t="n">
        <v>2368.53</v>
      </c>
      <c r="L1649" s="11" t="n">
        <v>1057.89</v>
      </c>
      <c r="M1649" s="12" t="n">
        <v>0.4466</v>
      </c>
    </row>
    <row r="1650">
      <c r="A1650" t="inlineStr">
        <is>
          <t>ORD-11086</t>
        </is>
      </c>
      <c r="B1650" s="10" t="inlineStr">
        <is>
          <t>2025-08-13</t>
        </is>
      </c>
      <c r="C1650" t="inlineStr">
        <is>
          <t>Customer 98</t>
        </is>
      </c>
      <c r="D1650" t="inlineStr">
        <is>
          <t>East</t>
        </is>
      </c>
      <c r="E1650" t="inlineStr">
        <is>
          <t>Office Supplies</t>
        </is>
      </c>
      <c r="F1650" t="inlineStr">
        <is>
          <t>Stapler</t>
        </is>
      </c>
      <c r="G1650" t="inlineStr">
        <is>
          <t>Standard Class</t>
        </is>
      </c>
      <c r="H1650" t="n">
        <v>11</v>
      </c>
      <c r="I1650" s="11" t="n">
        <v>894.41</v>
      </c>
      <c r="J1650" s="12" t="n">
        <v>0.15</v>
      </c>
      <c r="K1650" s="11" t="n">
        <v>8362.73</v>
      </c>
      <c r="L1650" s="11" t="n">
        <v>156.59</v>
      </c>
      <c r="M1650" s="12" t="n">
        <v>0.0187</v>
      </c>
    </row>
    <row r="1651">
      <c r="A1651" t="inlineStr">
        <is>
          <t>ORD-10646</t>
        </is>
      </c>
      <c r="B1651" s="10" t="inlineStr">
        <is>
          <t>2025-08-13</t>
        </is>
      </c>
      <c r="C1651" t="inlineStr">
        <is>
          <t>Customer 127</t>
        </is>
      </c>
      <c r="D1651" t="inlineStr">
        <is>
          <t>North</t>
        </is>
      </c>
      <c r="E1651" t="inlineStr">
        <is>
          <t>Office Supplies</t>
        </is>
      </c>
      <c r="F1651" t="inlineStr">
        <is>
          <t>Stapler</t>
        </is>
      </c>
      <c r="G1651" t="inlineStr">
        <is>
          <t>First Class</t>
        </is>
      </c>
      <c r="H1651" t="n">
        <v>6</v>
      </c>
      <c r="I1651" s="11" t="n">
        <v>486.54</v>
      </c>
      <c r="J1651" s="12" t="n">
        <v>0</v>
      </c>
      <c r="K1651" s="11" t="n">
        <v>2919.24</v>
      </c>
      <c r="L1651" s="11" t="n">
        <v>857.52</v>
      </c>
      <c r="M1651" s="12" t="n">
        <v>0.2937</v>
      </c>
    </row>
    <row r="1652">
      <c r="A1652" t="inlineStr">
        <is>
          <t>ORD-11048</t>
        </is>
      </c>
      <c r="B1652" s="10" t="inlineStr">
        <is>
          <t>2025-08-13</t>
        </is>
      </c>
      <c r="C1652" t="inlineStr">
        <is>
          <t>Customer 185</t>
        </is>
      </c>
      <c r="D1652" t="inlineStr">
        <is>
          <t>South</t>
        </is>
      </c>
      <c r="E1652" t="inlineStr">
        <is>
          <t>Furniture</t>
        </is>
      </c>
      <c r="F1652" t="inlineStr">
        <is>
          <t>Bookcase</t>
        </is>
      </c>
      <c r="G1652" t="inlineStr">
        <is>
          <t>First Class</t>
        </is>
      </c>
      <c r="H1652" t="n">
        <v>10</v>
      </c>
      <c r="I1652" s="11" t="n">
        <v>1184.87</v>
      </c>
      <c r="J1652" s="12" t="n">
        <v>0</v>
      </c>
      <c r="K1652" s="11" t="n">
        <v>11848.7</v>
      </c>
      <c r="L1652" s="11" t="n">
        <v>2826.13</v>
      </c>
      <c r="M1652" s="12" t="n">
        <v>0.2385</v>
      </c>
    </row>
    <row r="1653">
      <c r="A1653" t="inlineStr">
        <is>
          <t>ORD-11468</t>
        </is>
      </c>
      <c r="B1653" s="10" t="inlineStr">
        <is>
          <t>2025-08-13</t>
        </is>
      </c>
      <c r="C1653" t="inlineStr">
        <is>
          <t>Customer 116</t>
        </is>
      </c>
      <c r="D1653" t="inlineStr">
        <is>
          <t>East</t>
        </is>
      </c>
      <c r="E1653" t="inlineStr">
        <is>
          <t>Office Supplies</t>
        </is>
      </c>
      <c r="F1653" t="inlineStr">
        <is>
          <t>Stapler</t>
        </is>
      </c>
      <c r="G1653" t="inlineStr">
        <is>
          <t>Standard Class</t>
        </is>
      </c>
      <c r="H1653" t="n">
        <v>8</v>
      </c>
      <c r="I1653" s="11" t="n">
        <v>734.48</v>
      </c>
      <c r="J1653" s="12" t="n">
        <v>0</v>
      </c>
      <c r="K1653" s="11" t="n">
        <v>5875.84</v>
      </c>
      <c r="L1653" s="11" t="n">
        <v>1448.77</v>
      </c>
      <c r="M1653" s="12" t="n">
        <v>0.2466</v>
      </c>
    </row>
    <row r="1654">
      <c r="A1654" t="inlineStr">
        <is>
          <t>ORD-11573</t>
        </is>
      </c>
      <c r="B1654" s="10" t="inlineStr">
        <is>
          <t>2025-08-14</t>
        </is>
      </c>
      <c r="C1654" t="inlineStr">
        <is>
          <t>Customer 17</t>
        </is>
      </c>
      <c r="D1654" t="inlineStr">
        <is>
          <t>East</t>
        </is>
      </c>
      <c r="E1654" t="inlineStr">
        <is>
          <t>Office Supplies</t>
        </is>
      </c>
      <c r="F1654" t="inlineStr">
        <is>
          <t>Paper</t>
        </is>
      </c>
      <c r="G1654" t="inlineStr">
        <is>
          <t>Second Class</t>
        </is>
      </c>
      <c r="H1654" t="n">
        <v>5</v>
      </c>
      <c r="I1654" s="11" t="n">
        <v>969.71</v>
      </c>
      <c r="J1654" s="12" t="n">
        <v>0</v>
      </c>
      <c r="K1654" s="11" t="n">
        <v>4848.55</v>
      </c>
      <c r="L1654" s="11" t="n">
        <v>2044.21</v>
      </c>
      <c r="M1654" s="12" t="n">
        <v>0.4216</v>
      </c>
    </row>
    <row r="1655">
      <c r="A1655" t="inlineStr">
        <is>
          <t>ORD-10836</t>
        </is>
      </c>
      <c r="B1655" s="10" t="inlineStr">
        <is>
          <t>2025-08-14</t>
        </is>
      </c>
      <c r="C1655" t="inlineStr">
        <is>
          <t>Customer 147</t>
        </is>
      </c>
      <c r="D1655" t="inlineStr">
        <is>
          <t>North</t>
        </is>
      </c>
      <c r="E1655" t="inlineStr">
        <is>
          <t>Furniture</t>
        </is>
      </c>
      <c r="F1655" t="inlineStr">
        <is>
          <t>Table Lamp</t>
        </is>
      </c>
      <c r="G1655" t="inlineStr">
        <is>
          <t>Second Class</t>
        </is>
      </c>
      <c r="H1655" t="n">
        <v>10</v>
      </c>
      <c r="I1655" s="11" t="n">
        <v>415.05</v>
      </c>
      <c r="J1655" s="12" t="n">
        <v>0.15</v>
      </c>
      <c r="K1655" s="11" t="n">
        <v>3527.92</v>
      </c>
      <c r="L1655" s="11" t="n">
        <v>699</v>
      </c>
      <c r="M1655" s="12" t="n">
        <v>0.1981</v>
      </c>
    </row>
    <row r="1656">
      <c r="A1656" t="inlineStr">
        <is>
          <t>ORD-11057</t>
        </is>
      </c>
      <c r="B1656" s="10" t="inlineStr">
        <is>
          <t>2025-08-14</t>
        </is>
      </c>
      <c r="C1656" t="inlineStr">
        <is>
          <t>Customer 156</t>
        </is>
      </c>
      <c r="D1656" t="inlineStr">
        <is>
          <t>East</t>
        </is>
      </c>
      <c r="E1656" t="inlineStr">
        <is>
          <t>Furniture</t>
        </is>
      </c>
      <c r="F1656" t="inlineStr">
        <is>
          <t>Table Lamp</t>
        </is>
      </c>
      <c r="G1656" t="inlineStr">
        <is>
          <t>First Class</t>
        </is>
      </c>
      <c r="H1656" t="n">
        <v>7</v>
      </c>
      <c r="I1656" s="11" t="n">
        <v>647.73</v>
      </c>
      <c r="J1656" s="12" t="n">
        <v>0</v>
      </c>
      <c r="K1656" s="11" t="n">
        <v>4534.11</v>
      </c>
      <c r="L1656" s="11" t="n">
        <v>1318.64</v>
      </c>
      <c r="M1656" s="12" t="n">
        <v>0.2908</v>
      </c>
    </row>
    <row r="1657">
      <c r="A1657" t="inlineStr">
        <is>
          <t>ORD-11109</t>
        </is>
      </c>
      <c r="B1657" s="10" t="inlineStr">
        <is>
          <t>2025-08-15</t>
        </is>
      </c>
      <c r="C1657" t="inlineStr">
        <is>
          <t>Customer 65</t>
        </is>
      </c>
      <c r="D1657" t="inlineStr">
        <is>
          <t>South</t>
        </is>
      </c>
      <c r="E1657" t="inlineStr">
        <is>
          <t>Office Supplies</t>
        </is>
      </c>
      <c r="F1657" t="inlineStr">
        <is>
          <t>Pens (Box)</t>
        </is>
      </c>
      <c r="G1657" t="inlineStr">
        <is>
          <t>Same Day</t>
        </is>
      </c>
      <c r="H1657" t="n">
        <v>6</v>
      </c>
      <c r="I1657" s="11" t="n">
        <v>639.9299999999999</v>
      </c>
      <c r="J1657" s="12" t="n">
        <v>0</v>
      </c>
      <c r="K1657" s="11" t="n">
        <v>3839.58</v>
      </c>
      <c r="L1657" s="11" t="n">
        <v>1822.24</v>
      </c>
      <c r="M1657" s="12" t="n">
        <v>0.4746</v>
      </c>
    </row>
    <row r="1658">
      <c r="A1658" t="inlineStr">
        <is>
          <t>ORD-10875</t>
        </is>
      </c>
      <c r="B1658" s="10" t="inlineStr">
        <is>
          <t>2025-08-15</t>
        </is>
      </c>
      <c r="C1658" t="inlineStr">
        <is>
          <t>Customer 111</t>
        </is>
      </c>
      <c r="D1658" t="inlineStr">
        <is>
          <t>South</t>
        </is>
      </c>
      <c r="E1658" t="inlineStr">
        <is>
          <t>Office Supplies</t>
        </is>
      </c>
      <c r="F1658" t="inlineStr">
        <is>
          <t>Paper</t>
        </is>
      </c>
      <c r="G1658" t="inlineStr">
        <is>
          <t>Standard Class</t>
        </is>
      </c>
      <c r="H1658" t="n">
        <v>6</v>
      </c>
      <c r="I1658" s="11" t="n">
        <v>1039.94</v>
      </c>
      <c r="J1658" s="12" t="n">
        <v>0</v>
      </c>
      <c r="K1658" s="11" t="n">
        <v>6239.64</v>
      </c>
      <c r="L1658" s="11" t="n">
        <v>1509.07</v>
      </c>
      <c r="M1658" s="12" t="n">
        <v>0.2419</v>
      </c>
    </row>
    <row r="1659">
      <c r="A1659" t="inlineStr">
        <is>
          <t>ORD-10649</t>
        </is>
      </c>
      <c r="B1659" s="10" t="inlineStr">
        <is>
          <t>2025-08-16</t>
        </is>
      </c>
      <c r="C1659" t="inlineStr">
        <is>
          <t>Customer 93</t>
        </is>
      </c>
      <c r="D1659" t="inlineStr">
        <is>
          <t>West</t>
        </is>
      </c>
      <c r="E1659" t="inlineStr">
        <is>
          <t>Furniture</t>
        </is>
      </c>
      <c r="F1659" t="inlineStr">
        <is>
          <t>Table Lamp</t>
        </is>
      </c>
      <c r="G1659" t="inlineStr">
        <is>
          <t>Standard Class</t>
        </is>
      </c>
      <c r="H1659" t="n">
        <v>10</v>
      </c>
      <c r="I1659" s="11" t="n">
        <v>8.66</v>
      </c>
      <c r="J1659" s="12" t="n">
        <v>0</v>
      </c>
      <c r="K1659" s="11" t="n">
        <v>86.59999999999999</v>
      </c>
      <c r="L1659" s="11" t="n">
        <v>14.97</v>
      </c>
      <c r="M1659" s="12" t="n">
        <v>0.1729</v>
      </c>
    </row>
    <row r="1660">
      <c r="A1660" t="inlineStr">
        <is>
          <t>ORD-10232</t>
        </is>
      </c>
      <c r="B1660" s="10" t="inlineStr">
        <is>
          <t>2025-08-17</t>
        </is>
      </c>
      <c r="C1660" t="inlineStr">
        <is>
          <t>Customer 124</t>
        </is>
      </c>
      <c r="D1660" t="inlineStr">
        <is>
          <t>South</t>
        </is>
      </c>
      <c r="E1660" t="inlineStr">
        <is>
          <t>Furniture</t>
        </is>
      </c>
      <c r="F1660" t="inlineStr">
        <is>
          <t>Bookcase</t>
        </is>
      </c>
      <c r="G1660" t="inlineStr">
        <is>
          <t>Standard Class</t>
        </is>
      </c>
      <c r="H1660" t="n">
        <v>6</v>
      </c>
      <c r="I1660" s="11" t="n">
        <v>581.595</v>
      </c>
      <c r="J1660" s="12" t="n">
        <v>0</v>
      </c>
      <c r="K1660" s="11" t="n">
        <v>3147.43</v>
      </c>
      <c r="L1660" s="11" t="n">
        <v>511.2</v>
      </c>
      <c r="M1660" s="12" t="n">
        <v>0.1624</v>
      </c>
    </row>
    <row r="1661">
      <c r="A1661" t="inlineStr">
        <is>
          <t>ORD-10438</t>
        </is>
      </c>
      <c r="B1661" s="10" t="inlineStr">
        <is>
          <t>2025-08-17</t>
        </is>
      </c>
      <c r="C1661" t="inlineStr">
        <is>
          <t>Customer 89</t>
        </is>
      </c>
      <c r="D1661" t="inlineStr">
        <is>
          <t>West</t>
        </is>
      </c>
      <c r="E1661" t="inlineStr">
        <is>
          <t>Office Supplies</t>
        </is>
      </c>
      <c r="F1661" t="inlineStr">
        <is>
          <t>Paper</t>
        </is>
      </c>
      <c r="G1661" t="inlineStr">
        <is>
          <t>Second Class</t>
        </is>
      </c>
      <c r="H1661" t="n">
        <v>2</v>
      </c>
      <c r="I1661" s="11" t="n">
        <v>206.53</v>
      </c>
      <c r="J1661" s="12" t="n">
        <v>0</v>
      </c>
      <c r="K1661" s="11" t="n">
        <v>413.06</v>
      </c>
      <c r="L1661" s="11" t="n">
        <v>146.06</v>
      </c>
      <c r="M1661" s="12" t="n">
        <v>0.3536</v>
      </c>
    </row>
    <row r="1662">
      <c r="A1662" t="inlineStr">
        <is>
          <t>ORD-10908</t>
        </is>
      </c>
      <c r="B1662" s="10" t="inlineStr">
        <is>
          <t>2025-08-18</t>
        </is>
      </c>
      <c r="C1662" t="inlineStr">
        <is>
          <t>Customer 81</t>
        </is>
      </c>
      <c r="D1662" t="inlineStr">
        <is>
          <t>West</t>
        </is>
      </c>
      <c r="E1662" t="inlineStr">
        <is>
          <t>Office Supplies</t>
        </is>
      </c>
      <c r="F1662" t="inlineStr">
        <is>
          <t>Stapler</t>
        </is>
      </c>
      <c r="G1662" t="inlineStr">
        <is>
          <t>Standard Class</t>
        </is>
      </c>
      <c r="H1662" t="n">
        <v>11</v>
      </c>
      <c r="I1662" s="11" t="n">
        <v>1034.18</v>
      </c>
      <c r="J1662" s="12" t="n">
        <v>0.15</v>
      </c>
      <c r="K1662" s="11" t="n">
        <v>9669.58</v>
      </c>
      <c r="L1662" s="11" t="n">
        <v>2168.07</v>
      </c>
      <c r="M1662" s="12" t="n">
        <v>0.2242</v>
      </c>
    </row>
    <row r="1663">
      <c r="A1663" t="inlineStr">
        <is>
          <t>ORD-11742</t>
        </is>
      </c>
      <c r="B1663" s="10" t="inlineStr">
        <is>
          <t>2025-08-18</t>
        </is>
      </c>
      <c r="C1663" t="inlineStr">
        <is>
          <t>Customer 57</t>
        </is>
      </c>
      <c r="D1663" t="inlineStr">
        <is>
          <t>East</t>
        </is>
      </c>
      <c r="E1663" t="inlineStr">
        <is>
          <t>Technology</t>
        </is>
      </c>
      <c r="F1663" t="inlineStr">
        <is>
          <t>Printer</t>
        </is>
      </c>
      <c r="G1663" t="inlineStr">
        <is>
          <t>First Class</t>
        </is>
      </c>
      <c r="H1663" t="n">
        <v>9</v>
      </c>
      <c r="I1663" s="11" t="n">
        <v>1130.77</v>
      </c>
      <c r="J1663" s="12" t="n">
        <v>0.1</v>
      </c>
      <c r="K1663" s="11" t="n">
        <v>9159.24</v>
      </c>
      <c r="L1663" s="11" t="n">
        <v>3694.68</v>
      </c>
      <c r="M1663" s="12" t="n">
        <v>0.4034</v>
      </c>
    </row>
    <row r="1664">
      <c r="A1664" t="inlineStr">
        <is>
          <t>ORD-10222</t>
        </is>
      </c>
      <c r="B1664" s="10" t="inlineStr">
        <is>
          <t>2025-08-18</t>
        </is>
      </c>
      <c r="C1664" t="inlineStr">
        <is>
          <t>Customer 35</t>
        </is>
      </c>
      <c r="D1664" t="inlineStr">
        <is>
          <t>West</t>
        </is>
      </c>
      <c r="E1664" t="inlineStr">
        <is>
          <t>Technology</t>
        </is>
      </c>
      <c r="F1664" t="inlineStr">
        <is>
          <t>Printer</t>
        </is>
      </c>
      <c r="G1664" t="inlineStr">
        <is>
          <t>Second Class</t>
        </is>
      </c>
      <c r="H1664" t="n">
        <v>2</v>
      </c>
      <c r="I1664" s="11" t="n">
        <v>540.65</v>
      </c>
      <c r="J1664" s="12" t="n">
        <v>0.15</v>
      </c>
      <c r="K1664" s="11" t="n">
        <v>919.1</v>
      </c>
      <c r="L1664" s="11" t="n">
        <v>287.34</v>
      </c>
      <c r="M1664" s="12" t="n">
        <v>0.3126</v>
      </c>
    </row>
    <row r="1665">
      <c r="A1665" t="inlineStr">
        <is>
          <t>ORD-10458</t>
        </is>
      </c>
      <c r="B1665" s="10" t="inlineStr">
        <is>
          <t>2025-08-18</t>
        </is>
      </c>
      <c r="C1665" t="inlineStr">
        <is>
          <t>Customer 172</t>
        </is>
      </c>
      <c r="D1665" t="inlineStr">
        <is>
          <t>North</t>
        </is>
      </c>
      <c r="E1665" t="inlineStr">
        <is>
          <t>Technology</t>
        </is>
      </c>
      <c r="F1665" t="inlineStr">
        <is>
          <t>Wireless Mouse</t>
        </is>
      </c>
      <c r="G1665" t="inlineStr">
        <is>
          <t>Second Class</t>
        </is>
      </c>
      <c r="H1665" t="n">
        <v>1</v>
      </c>
      <c r="I1665" s="11" t="n">
        <v>869.65</v>
      </c>
      <c r="J1665" s="12" t="n">
        <v>0.15</v>
      </c>
      <c r="K1665" s="11" t="n">
        <v>739.2</v>
      </c>
      <c r="L1665" s="11" t="n">
        <v>28.36</v>
      </c>
      <c r="M1665" s="12" t="n">
        <v>0.0384</v>
      </c>
    </row>
    <row r="1666">
      <c r="A1666" t="inlineStr">
        <is>
          <t>ORD-11203</t>
        </is>
      </c>
      <c r="B1666" s="10" t="inlineStr">
        <is>
          <t>2025-08-19</t>
        </is>
      </c>
      <c r="C1666" t="inlineStr">
        <is>
          <t>Customer 190</t>
        </is>
      </c>
      <c r="D1666" t="inlineStr">
        <is>
          <t>South</t>
        </is>
      </c>
      <c r="E1666" t="inlineStr">
        <is>
          <t>Office Supplies</t>
        </is>
      </c>
      <c r="F1666" t="inlineStr">
        <is>
          <t>Pens (Box)</t>
        </is>
      </c>
      <c r="G1666" t="inlineStr">
        <is>
          <t>Second Class</t>
        </is>
      </c>
      <c r="H1666" t="n">
        <v>10</v>
      </c>
      <c r="I1666" s="11" t="n">
        <v>1176.56</v>
      </c>
      <c r="J1666" s="12" t="n">
        <v>0.15</v>
      </c>
      <c r="K1666" s="11" t="n">
        <v>10000.76</v>
      </c>
      <c r="L1666" s="11" t="n">
        <v>3908.12</v>
      </c>
      <c r="M1666" s="12" t="n">
        <v>0.3908</v>
      </c>
    </row>
    <row r="1667">
      <c r="A1667" t="inlineStr">
        <is>
          <t>ORD-11633</t>
        </is>
      </c>
      <c r="B1667" s="10" t="inlineStr">
        <is>
          <t>2025-08-19</t>
        </is>
      </c>
      <c r="C1667" t="inlineStr">
        <is>
          <t>Customer 180</t>
        </is>
      </c>
      <c r="D1667" t="inlineStr">
        <is>
          <t>East</t>
        </is>
      </c>
      <c r="E1667" t="inlineStr">
        <is>
          <t>Technology</t>
        </is>
      </c>
      <c r="F1667" t="inlineStr">
        <is>
          <t>Monitor</t>
        </is>
      </c>
      <c r="G1667" t="inlineStr">
        <is>
          <t>Second Class</t>
        </is>
      </c>
      <c r="H1667" t="n">
        <v>8</v>
      </c>
      <c r="I1667" s="11" t="n">
        <v>997.3099999999999</v>
      </c>
      <c r="J1667" s="12" t="n">
        <v>0</v>
      </c>
      <c r="K1667" s="11" t="n">
        <v>7978.48</v>
      </c>
      <c r="L1667" s="11" t="n">
        <v>2599.96</v>
      </c>
      <c r="M1667" s="12" t="n">
        <v>0.3259</v>
      </c>
    </row>
    <row r="1668">
      <c r="A1668" t="inlineStr">
        <is>
          <t>ORD-11658</t>
        </is>
      </c>
      <c r="B1668" s="10" t="inlineStr">
        <is>
          <t>2025-08-20</t>
        </is>
      </c>
      <c r="C1668" t="inlineStr">
        <is>
          <t>Customer 115</t>
        </is>
      </c>
      <c r="D1668" t="inlineStr">
        <is>
          <t>East</t>
        </is>
      </c>
      <c r="E1668" t="inlineStr">
        <is>
          <t>Office Supplies</t>
        </is>
      </c>
      <c r="F1668" t="inlineStr">
        <is>
          <t>Paper</t>
        </is>
      </c>
      <c r="G1668" t="inlineStr">
        <is>
          <t>Standard Class</t>
        </is>
      </c>
      <c r="H1668" t="n">
        <v>7</v>
      </c>
      <c r="I1668" s="11" t="n">
        <v>317.42</v>
      </c>
      <c r="J1668" s="12" t="n">
        <v>0.3</v>
      </c>
      <c r="K1668" s="11" t="n">
        <v>1555.36</v>
      </c>
      <c r="L1668" s="11" t="n">
        <v>6.35</v>
      </c>
      <c r="M1668" s="12" t="n">
        <v>0.0041</v>
      </c>
    </row>
    <row r="1669">
      <c r="A1669" t="inlineStr">
        <is>
          <t>ORD-10244</t>
        </is>
      </c>
      <c r="B1669" s="10" t="inlineStr">
        <is>
          <t>2025-08-21</t>
        </is>
      </c>
      <c r="C1669" t="inlineStr">
        <is>
          <t>Customer 162</t>
        </is>
      </c>
      <c r="D1669" t="inlineStr">
        <is>
          <t>East</t>
        </is>
      </c>
      <c r="E1669" t="inlineStr">
        <is>
          <t>Office Supplies</t>
        </is>
      </c>
      <c r="F1669" t="inlineStr">
        <is>
          <t>Stapler</t>
        </is>
      </c>
      <c r="G1669" t="inlineStr">
        <is>
          <t>Standard Class</t>
        </is>
      </c>
      <c r="H1669" t="n">
        <v>1</v>
      </c>
      <c r="I1669" s="11" t="n">
        <v>900.48</v>
      </c>
      <c r="J1669" s="12" t="n">
        <v>0</v>
      </c>
      <c r="K1669" s="11" t="n">
        <v>900.48</v>
      </c>
      <c r="L1669" s="11" t="n">
        <v>413.1</v>
      </c>
      <c r="M1669" s="12" t="n">
        <v>0.4588</v>
      </c>
    </row>
    <row r="1670">
      <c r="A1670" t="inlineStr">
        <is>
          <t>ORD-11257</t>
        </is>
      </c>
      <c r="B1670" s="10" t="inlineStr">
        <is>
          <t>2025-08-21</t>
        </is>
      </c>
      <c r="C1670" t="inlineStr">
        <is>
          <t>Customer 196</t>
        </is>
      </c>
      <c r="D1670" t="inlineStr">
        <is>
          <t>North</t>
        </is>
      </c>
      <c r="E1670" t="inlineStr">
        <is>
          <t>Technology</t>
        </is>
      </c>
      <c r="F1670" t="inlineStr">
        <is>
          <t>Printer</t>
        </is>
      </c>
      <c r="G1670" t="inlineStr">
        <is>
          <t>Same Day</t>
        </is>
      </c>
      <c r="H1670" t="n">
        <v>11</v>
      </c>
      <c r="I1670" s="11" t="n">
        <v>1121.26</v>
      </c>
      <c r="J1670" s="12" t="n">
        <v>0</v>
      </c>
      <c r="K1670" s="11" t="n">
        <v>12333.86</v>
      </c>
      <c r="L1670" s="11" t="n">
        <v>3010.4</v>
      </c>
      <c r="M1670" s="12" t="n">
        <v>0.2441</v>
      </c>
    </row>
    <row r="1671">
      <c r="A1671" t="inlineStr">
        <is>
          <t>ORD-10829</t>
        </is>
      </c>
      <c r="B1671" s="10" t="inlineStr">
        <is>
          <t>2025-08-21</t>
        </is>
      </c>
      <c r="C1671" t="inlineStr">
        <is>
          <t>Customer 138</t>
        </is>
      </c>
      <c r="D1671" t="inlineStr">
        <is>
          <t>North</t>
        </is>
      </c>
      <c r="E1671" t="inlineStr">
        <is>
          <t>Technology</t>
        </is>
      </c>
      <c r="F1671" t="inlineStr">
        <is>
          <t>Wireless Mouse</t>
        </is>
      </c>
      <c r="G1671" t="inlineStr">
        <is>
          <t>First Class</t>
        </is>
      </c>
      <c r="H1671" t="n">
        <v>5</v>
      </c>
      <c r="I1671" s="11" t="n">
        <v>1061.19</v>
      </c>
      <c r="J1671" s="12" t="n">
        <v>0.2</v>
      </c>
      <c r="K1671" s="11" t="n">
        <v>4244.76</v>
      </c>
      <c r="L1671" s="11" t="n">
        <v>-43.42</v>
      </c>
      <c r="M1671" s="12" t="n">
        <v>-0.0102</v>
      </c>
    </row>
    <row r="1672">
      <c r="A1672" t="inlineStr">
        <is>
          <t>ORD-10516</t>
        </is>
      </c>
      <c r="B1672" s="10" t="inlineStr">
        <is>
          <t>2025-08-22</t>
        </is>
      </c>
      <c r="C1672" t="inlineStr">
        <is>
          <t>Customer 104</t>
        </is>
      </c>
      <c r="D1672" t="inlineStr">
        <is>
          <t>North</t>
        </is>
      </c>
      <c r="E1672" t="inlineStr">
        <is>
          <t>Furniture</t>
        </is>
      </c>
      <c r="F1672" t="inlineStr">
        <is>
          <t>Desk</t>
        </is>
      </c>
      <c r="G1672" t="inlineStr">
        <is>
          <t>Standard Class</t>
        </is>
      </c>
      <c r="H1672" t="n">
        <v>11</v>
      </c>
      <c r="I1672" s="11" t="n">
        <v>831.8</v>
      </c>
      <c r="J1672" s="12" t="n">
        <v>0</v>
      </c>
      <c r="K1672" s="11" t="n">
        <v>147904.3625940963</v>
      </c>
      <c r="L1672" s="11" t="n">
        <v>4571.72</v>
      </c>
      <c r="M1672" s="12" t="n">
        <v>0.0309</v>
      </c>
    </row>
    <row r="1673">
      <c r="A1673" t="inlineStr">
        <is>
          <t>ORD-11504</t>
        </is>
      </c>
      <c r="B1673" s="10" t="inlineStr">
        <is>
          <t>2025-08-22</t>
        </is>
      </c>
      <c r="C1673" t="inlineStr">
        <is>
          <t>Customer 70</t>
        </is>
      </c>
      <c r="D1673" t="inlineStr">
        <is>
          <t>South</t>
        </is>
      </c>
      <c r="E1673" t="inlineStr">
        <is>
          <t>Office Supplies</t>
        </is>
      </c>
      <c r="F1673" t="inlineStr">
        <is>
          <t>Paper</t>
        </is>
      </c>
      <c r="G1673" t="inlineStr">
        <is>
          <t>Second Class</t>
        </is>
      </c>
      <c r="H1673" t="n">
        <v>11</v>
      </c>
      <c r="I1673" s="11" t="n">
        <v>789.6799999999999</v>
      </c>
      <c r="J1673" s="12" t="n">
        <v>0</v>
      </c>
      <c r="K1673" s="11" t="n">
        <v>8686.48</v>
      </c>
      <c r="L1673" s="11" t="n">
        <v>3727.83</v>
      </c>
      <c r="M1673" s="12" t="n">
        <v>0.4292</v>
      </c>
    </row>
    <row r="1674">
      <c r="A1674" t="inlineStr">
        <is>
          <t>ORD-10650</t>
        </is>
      </c>
      <c r="B1674" s="10" t="inlineStr">
        <is>
          <t>2025-08-24</t>
        </is>
      </c>
      <c r="C1674" t="inlineStr">
        <is>
          <t>Customer 132</t>
        </is>
      </c>
      <c r="D1674" t="inlineStr">
        <is>
          <t>East</t>
        </is>
      </c>
      <c r="E1674" t="inlineStr">
        <is>
          <t>Office Supplies</t>
        </is>
      </c>
      <c r="F1674" t="inlineStr">
        <is>
          <t>Binder</t>
        </is>
      </c>
      <c r="G1674" t="inlineStr">
        <is>
          <t>Standard Class</t>
        </is>
      </c>
      <c r="H1674" t="n">
        <v>7</v>
      </c>
      <c r="I1674" s="11" t="n">
        <v>663.24</v>
      </c>
      <c r="J1674" s="12" t="n">
        <v>0</v>
      </c>
      <c r="K1674" s="11" t="n">
        <v>4642.68</v>
      </c>
      <c r="L1674" s="11" t="n">
        <v>2225.61</v>
      </c>
      <c r="M1674" s="12" t="n">
        <v>0.4794</v>
      </c>
    </row>
    <row r="1675">
      <c r="A1675" t="inlineStr">
        <is>
          <t>ORD-10186</t>
        </is>
      </c>
      <c r="B1675" s="10" t="inlineStr">
        <is>
          <t>2025-08-26</t>
        </is>
      </c>
      <c r="C1675" t="inlineStr">
        <is>
          <t>Customer 20</t>
        </is>
      </c>
      <c r="D1675" t="inlineStr">
        <is>
          <t>South</t>
        </is>
      </c>
      <c r="E1675" t="inlineStr">
        <is>
          <t>Technology</t>
        </is>
      </c>
      <c r="F1675" t="inlineStr">
        <is>
          <t>Monitor</t>
        </is>
      </c>
      <c r="G1675" t="inlineStr">
        <is>
          <t>Standard Class</t>
        </is>
      </c>
      <c r="H1675" t="n">
        <v>6</v>
      </c>
      <c r="I1675" s="11" t="n">
        <v>1113.37</v>
      </c>
      <c r="J1675" s="12" t="n">
        <v>0</v>
      </c>
      <c r="K1675" s="11" t="n">
        <v>6680.22</v>
      </c>
      <c r="L1675" s="11" t="n">
        <v>1776.06</v>
      </c>
      <c r="M1675" s="12" t="n">
        <v>0.2659</v>
      </c>
    </row>
    <row r="1676">
      <c r="A1676" t="inlineStr">
        <is>
          <t>ORD-10915</t>
        </is>
      </c>
      <c r="B1676" s="10" t="inlineStr">
        <is>
          <t>2025-08-26</t>
        </is>
      </c>
      <c r="C1676" t="inlineStr">
        <is>
          <t>Customer 89</t>
        </is>
      </c>
      <c r="D1676" t="inlineStr">
        <is>
          <t>West</t>
        </is>
      </c>
      <c r="E1676" t="inlineStr">
        <is>
          <t>Furniture</t>
        </is>
      </c>
      <c r="F1676" t="inlineStr">
        <is>
          <t>Table Lamp</t>
        </is>
      </c>
      <c r="G1676" t="inlineStr">
        <is>
          <t>First Class</t>
        </is>
      </c>
      <c r="H1676" t="n">
        <v>9</v>
      </c>
      <c r="I1676" s="11" t="n">
        <v>1196.02</v>
      </c>
      <c r="J1676" s="12" t="n">
        <v>0</v>
      </c>
      <c r="K1676" s="11" t="n">
        <v>10764.18</v>
      </c>
      <c r="L1676" s="11" t="n">
        <v>3919.34</v>
      </c>
      <c r="M1676" s="12" t="n">
        <v>0.3641</v>
      </c>
    </row>
    <row r="1677">
      <c r="A1677" t="inlineStr">
        <is>
          <t>ORD-10349</t>
        </is>
      </c>
      <c r="B1677" s="10" t="inlineStr">
        <is>
          <t>2025-08-27</t>
        </is>
      </c>
      <c r="C1677" t="inlineStr">
        <is>
          <t>Customer 81</t>
        </is>
      </c>
      <c r="D1677" t="inlineStr">
        <is>
          <t>West</t>
        </is>
      </c>
      <c r="E1677" t="inlineStr">
        <is>
          <t>Technology</t>
        </is>
      </c>
      <c r="F1677" t="inlineStr">
        <is>
          <t>Laptop</t>
        </is>
      </c>
      <c r="G1677" t="inlineStr">
        <is>
          <t>Standard Class</t>
        </is>
      </c>
      <c r="H1677" t="n">
        <v>10</v>
      </c>
      <c r="I1677" s="11" t="n">
        <v>799.9299999999999</v>
      </c>
      <c r="J1677" s="12" t="n">
        <v>0.1</v>
      </c>
      <c r="K1677" s="11" t="n">
        <v>7199.37</v>
      </c>
      <c r="L1677" s="11" t="n">
        <v>2462.5</v>
      </c>
      <c r="M1677" s="12" t="n">
        <v>0.342</v>
      </c>
    </row>
    <row r="1678">
      <c r="A1678" t="inlineStr">
        <is>
          <t>ORD-11940</t>
        </is>
      </c>
      <c r="B1678" s="10" t="inlineStr">
        <is>
          <t>2025-08-27</t>
        </is>
      </c>
      <c r="C1678" t="inlineStr">
        <is>
          <t>Customer 183</t>
        </is>
      </c>
      <c r="D1678" t="inlineStr">
        <is>
          <t>South</t>
        </is>
      </c>
      <c r="E1678" t="inlineStr">
        <is>
          <t>Technology</t>
        </is>
      </c>
      <c r="F1678" t="inlineStr">
        <is>
          <t>Monitor</t>
        </is>
      </c>
      <c r="G1678" t="inlineStr">
        <is>
          <t>Second Class</t>
        </is>
      </c>
      <c r="H1678" t="n">
        <v>3</v>
      </c>
      <c r="I1678" s="11" t="n">
        <v>287.26</v>
      </c>
      <c r="J1678" s="12" t="n">
        <v>0</v>
      </c>
      <c r="K1678" s="11" t="n">
        <v>861.78</v>
      </c>
      <c r="L1678" s="11" t="n">
        <v>326.78</v>
      </c>
      <c r="M1678" s="12" t="n">
        <v>0.3792</v>
      </c>
    </row>
    <row r="1679">
      <c r="A1679" t="inlineStr">
        <is>
          <t>ORD-11280</t>
        </is>
      </c>
      <c r="B1679" s="10" t="inlineStr">
        <is>
          <t>2025-08-27</t>
        </is>
      </c>
      <c r="C1679" t="inlineStr">
        <is>
          <t>Customer 173</t>
        </is>
      </c>
      <c r="D1679" t="inlineStr">
        <is>
          <t>West</t>
        </is>
      </c>
      <c r="E1679" t="inlineStr">
        <is>
          <t>Furniture</t>
        </is>
      </c>
      <c r="F1679" t="inlineStr">
        <is>
          <t>Chair</t>
        </is>
      </c>
      <c r="G1679" t="inlineStr">
        <is>
          <t>Standard Class</t>
        </is>
      </c>
      <c r="H1679" t="n">
        <v>4</v>
      </c>
      <c r="I1679" s="11" t="n">
        <v>1132.06</v>
      </c>
      <c r="J1679" s="12" t="n">
        <v>0.15</v>
      </c>
      <c r="K1679" s="11" t="n">
        <v>3849</v>
      </c>
      <c r="L1679" s="11" t="n">
        <v>1055.67</v>
      </c>
      <c r="M1679" s="12" t="n">
        <v>0.2743</v>
      </c>
    </row>
    <row r="1680">
      <c r="A1680" t="inlineStr">
        <is>
          <t>ORD-11303</t>
        </is>
      </c>
      <c r="B1680" s="10" t="inlineStr">
        <is>
          <t>2025-08-27</t>
        </is>
      </c>
      <c r="C1680" t="inlineStr">
        <is>
          <t>Customer 112</t>
        </is>
      </c>
      <c r="D1680" t="inlineStr">
        <is>
          <t>West</t>
        </is>
      </c>
      <c r="E1680" t="inlineStr">
        <is>
          <t>Furniture</t>
        </is>
      </c>
      <c r="F1680" t="inlineStr">
        <is>
          <t>Bookcase</t>
        </is>
      </c>
      <c r="G1680" t="inlineStr">
        <is>
          <t>Standard Class</t>
        </is>
      </c>
      <c r="H1680" t="n">
        <v>5</v>
      </c>
      <c r="I1680" s="11" t="n">
        <v>444.67</v>
      </c>
      <c r="J1680" s="12" t="n">
        <v>0.15</v>
      </c>
      <c r="K1680" s="11" t="n">
        <v>1889.85</v>
      </c>
      <c r="L1680" s="11" t="n">
        <v>423.92</v>
      </c>
      <c r="M1680" s="12" t="n">
        <v>0.2243</v>
      </c>
    </row>
    <row r="1681">
      <c r="A1681" t="inlineStr">
        <is>
          <t>ORD-11332</t>
        </is>
      </c>
      <c r="B1681" s="10" t="inlineStr">
        <is>
          <t>2025-08-28</t>
        </is>
      </c>
      <c r="C1681" t="inlineStr">
        <is>
          <t>Customer 66</t>
        </is>
      </c>
      <c r="D1681" t="inlineStr">
        <is>
          <t>South</t>
        </is>
      </c>
      <c r="E1681" t="inlineStr">
        <is>
          <t>Office Supplies</t>
        </is>
      </c>
      <c r="F1681" t="inlineStr">
        <is>
          <t>Pens (Box)</t>
        </is>
      </c>
      <c r="G1681" t="inlineStr">
        <is>
          <t>Standard Class</t>
        </is>
      </c>
      <c r="H1681" t="n">
        <v>3</v>
      </c>
      <c r="I1681" s="11" t="n">
        <v>169.07</v>
      </c>
      <c r="J1681" s="12" t="n">
        <v>0</v>
      </c>
      <c r="K1681" s="11" t="n">
        <v>507.21</v>
      </c>
      <c r="L1681" s="11" t="n">
        <v>205.68</v>
      </c>
      <c r="M1681" s="12" t="n">
        <v>0.4055</v>
      </c>
    </row>
    <row r="1682">
      <c r="A1682" t="inlineStr">
        <is>
          <t>ORD-10583</t>
        </is>
      </c>
      <c r="B1682" s="10" t="inlineStr">
        <is>
          <t>2025-08-29</t>
        </is>
      </c>
      <c r="C1682" t="inlineStr">
        <is>
          <t>Customer 95</t>
        </is>
      </c>
      <c r="D1682" t="inlineStr">
        <is>
          <t>West</t>
        </is>
      </c>
      <c r="E1682" t="inlineStr">
        <is>
          <t>Technology</t>
        </is>
      </c>
      <c r="F1682" t="inlineStr">
        <is>
          <t>Monitor</t>
        </is>
      </c>
      <c r="G1682" t="inlineStr">
        <is>
          <t>Second Class</t>
        </is>
      </c>
      <c r="H1682" t="n">
        <v>11</v>
      </c>
      <c r="I1682" s="11" t="n">
        <v>51.99</v>
      </c>
      <c r="J1682" s="12" t="n">
        <v>0.3</v>
      </c>
      <c r="K1682" s="11" t="n">
        <v>400.32</v>
      </c>
      <c r="L1682" s="11" t="n">
        <v>-55.64</v>
      </c>
      <c r="M1682" s="12" t="n">
        <v>-0.139</v>
      </c>
    </row>
    <row r="1683">
      <c r="A1683" t="inlineStr">
        <is>
          <t>ORD-10158</t>
        </is>
      </c>
      <c r="B1683" s="10" t="inlineStr">
        <is>
          <t>2025-08-30</t>
        </is>
      </c>
      <c r="C1683" t="inlineStr">
        <is>
          <t>Customer 38</t>
        </is>
      </c>
      <c r="D1683" t="inlineStr">
        <is>
          <t>West</t>
        </is>
      </c>
      <c r="E1683" t="inlineStr">
        <is>
          <t>Technology</t>
        </is>
      </c>
      <c r="F1683" t="inlineStr">
        <is>
          <t>Laptop</t>
        </is>
      </c>
      <c r="G1683" t="inlineStr">
        <is>
          <t>First Class</t>
        </is>
      </c>
      <c r="H1683" t="n">
        <v>8</v>
      </c>
      <c r="I1683" s="11" t="n">
        <v>215.75</v>
      </c>
      <c r="J1683" s="12" t="n">
        <v>0</v>
      </c>
      <c r="K1683" s="11" t="n">
        <v>1726</v>
      </c>
      <c r="L1683" s="11" t="n">
        <v>529.4299999999999</v>
      </c>
      <c r="M1683" s="12" t="n">
        <v>0.3067</v>
      </c>
    </row>
    <row r="1684">
      <c r="A1684" t="inlineStr">
        <is>
          <t>ORD-11885</t>
        </is>
      </c>
      <c r="B1684" s="10" t="inlineStr">
        <is>
          <t>2025-08-31</t>
        </is>
      </c>
      <c r="C1684" t="inlineStr">
        <is>
          <t>Customer 148</t>
        </is>
      </c>
      <c r="D1684" t="inlineStr">
        <is>
          <t>North</t>
        </is>
      </c>
      <c r="E1684" t="inlineStr">
        <is>
          <t>Furniture</t>
        </is>
      </c>
      <c r="F1684" t="inlineStr">
        <is>
          <t>Desk</t>
        </is>
      </c>
      <c r="G1684" t="inlineStr">
        <is>
          <t>Standard Class</t>
        </is>
      </c>
      <c r="H1684" t="n">
        <v>2</v>
      </c>
      <c r="I1684" s="11" t="n">
        <v>1106.56</v>
      </c>
      <c r="J1684" s="12" t="n">
        <v>0</v>
      </c>
      <c r="K1684" s="11" t="n">
        <v>2213.12</v>
      </c>
      <c r="L1684" s="11" t="n">
        <v>429.48</v>
      </c>
      <c r="M1684" s="12" t="n">
        <v>0.1941</v>
      </c>
    </row>
    <row r="1685">
      <c r="A1685" t="inlineStr">
        <is>
          <t>ORD-11436</t>
        </is>
      </c>
      <c r="B1685" s="10" t="inlineStr">
        <is>
          <t>2025-08-31</t>
        </is>
      </c>
      <c r="C1685" t="inlineStr">
        <is>
          <t>Customer 137</t>
        </is>
      </c>
      <c r="D1685" t="inlineStr">
        <is>
          <t>East</t>
        </is>
      </c>
      <c r="E1685" t="inlineStr">
        <is>
          <t>Furniture</t>
        </is>
      </c>
      <c r="F1685" t="inlineStr">
        <is>
          <t>Bookcase</t>
        </is>
      </c>
      <c r="G1685" t="inlineStr">
        <is>
          <t>Second Class</t>
        </is>
      </c>
      <c r="H1685" t="n">
        <v>5</v>
      </c>
      <c r="I1685" s="11" t="n">
        <v>598.13</v>
      </c>
      <c r="J1685" s="12" t="n">
        <v>0</v>
      </c>
      <c r="K1685" s="11" t="n">
        <v>2990.65</v>
      </c>
      <c r="L1685" s="11" t="n">
        <v>882.15</v>
      </c>
      <c r="M1685" s="12" t="n">
        <v>0.295</v>
      </c>
    </row>
    <row r="1686">
      <c r="A1686" t="inlineStr">
        <is>
          <t>ORD-10030</t>
        </is>
      </c>
      <c r="B1686" s="10" t="inlineStr">
        <is>
          <t>2025-08-31</t>
        </is>
      </c>
      <c r="C1686" t="inlineStr">
        <is>
          <t>Customer 108</t>
        </is>
      </c>
      <c r="D1686" t="inlineStr">
        <is>
          <t>East</t>
        </is>
      </c>
      <c r="E1686" t="inlineStr">
        <is>
          <t>Office Supplies</t>
        </is>
      </c>
      <c r="F1686" t="inlineStr">
        <is>
          <t>Paper</t>
        </is>
      </c>
      <c r="G1686" t="inlineStr">
        <is>
          <t>Same Day</t>
        </is>
      </c>
      <c r="H1686" t="n">
        <v>2</v>
      </c>
      <c r="I1686" s="11" t="n">
        <v>67.09</v>
      </c>
      <c r="J1686" s="12" t="n">
        <v>0.2</v>
      </c>
      <c r="K1686" s="11" t="n">
        <v>107.34</v>
      </c>
      <c r="L1686" s="11" t="n">
        <v>35.6</v>
      </c>
      <c r="M1686" s="12" t="n">
        <v>0.3317</v>
      </c>
    </row>
    <row r="1687">
      <c r="A1687" t="inlineStr">
        <is>
          <t>ORD-10205</t>
        </is>
      </c>
      <c r="B1687" s="10" t="inlineStr">
        <is>
          <t>2025-09-01</t>
        </is>
      </c>
      <c r="C1687" t="inlineStr">
        <is>
          <t>Customer 82</t>
        </is>
      </c>
      <c r="D1687" t="inlineStr">
        <is>
          <t>South</t>
        </is>
      </c>
      <c r="E1687" t="inlineStr">
        <is>
          <t>Furniture</t>
        </is>
      </c>
      <c r="F1687" t="inlineStr">
        <is>
          <t>Bookcase</t>
        </is>
      </c>
      <c r="G1687" t="inlineStr">
        <is>
          <t>Standard Class</t>
        </is>
      </c>
      <c r="H1687" t="n">
        <v>1</v>
      </c>
      <c r="I1687" s="11" t="n">
        <v>936.9400000000001</v>
      </c>
      <c r="J1687" s="12" t="n">
        <v>0</v>
      </c>
      <c r="K1687" s="11" t="n">
        <v>18727.87305449464</v>
      </c>
      <c r="L1687" s="11" t="n">
        <v>163.27</v>
      </c>
      <c r="M1687" s="12" t="n">
        <v>0.008699999999999999</v>
      </c>
    </row>
    <row r="1688">
      <c r="A1688" t="inlineStr">
        <is>
          <t>ORD-11472</t>
        </is>
      </c>
      <c r="B1688" s="10" t="inlineStr">
        <is>
          <t>2025-09-01</t>
        </is>
      </c>
      <c r="C1688" t="inlineStr">
        <is>
          <t>Customer 116</t>
        </is>
      </c>
      <c r="D1688" t="inlineStr">
        <is>
          <t>East</t>
        </is>
      </c>
      <c r="E1688" t="inlineStr">
        <is>
          <t>Technology</t>
        </is>
      </c>
      <c r="F1688" t="inlineStr">
        <is>
          <t>Monitor</t>
        </is>
      </c>
      <c r="G1688" t="inlineStr">
        <is>
          <t>Same Day</t>
        </is>
      </c>
      <c r="H1688" t="n">
        <v>5</v>
      </c>
      <c r="I1688" s="11" t="n">
        <v>95.88</v>
      </c>
      <c r="J1688" s="12" t="n">
        <v>0.1</v>
      </c>
      <c r="K1688" s="11" t="n">
        <v>431.46</v>
      </c>
      <c r="L1688" s="11" t="n">
        <v>29.71</v>
      </c>
      <c r="M1688" s="12" t="n">
        <v>0.0689</v>
      </c>
    </row>
    <row r="1689">
      <c r="A1689" t="inlineStr">
        <is>
          <t>ORD-11987</t>
        </is>
      </c>
      <c r="B1689" s="10" t="inlineStr">
        <is>
          <t>2025-09-02</t>
        </is>
      </c>
      <c r="C1689" t="inlineStr">
        <is>
          <t>Customer 96</t>
        </is>
      </c>
      <c r="D1689" t="inlineStr">
        <is>
          <t>South</t>
        </is>
      </c>
      <c r="E1689" t="inlineStr">
        <is>
          <t>Technology</t>
        </is>
      </c>
      <c r="F1689" t="inlineStr">
        <is>
          <t>Wireless Mouse</t>
        </is>
      </c>
      <c r="G1689" t="inlineStr">
        <is>
          <t>Same Day</t>
        </is>
      </c>
      <c r="H1689" t="n">
        <v>5</v>
      </c>
      <c r="I1689" s="11" t="n">
        <v>728.36</v>
      </c>
      <c r="J1689" s="12" t="n">
        <v>0.3</v>
      </c>
      <c r="K1689" s="11" t="n">
        <v>2549.26</v>
      </c>
      <c r="L1689" s="11" t="n">
        <v>396.08</v>
      </c>
      <c r="M1689" s="12" t="n">
        <v>0.1554</v>
      </c>
    </row>
    <row r="1690">
      <c r="A1690" t="inlineStr">
        <is>
          <t>ORD-10048</t>
        </is>
      </c>
      <c r="B1690" s="10" t="inlineStr">
        <is>
          <t>2025-09-02</t>
        </is>
      </c>
      <c r="C1690" t="inlineStr">
        <is>
          <t>Customer 42</t>
        </is>
      </c>
      <c r="D1690" t="inlineStr">
        <is>
          <t>West</t>
        </is>
      </c>
      <c r="E1690" t="inlineStr">
        <is>
          <t>Office Supplies</t>
        </is>
      </c>
      <c r="F1690" t="inlineStr">
        <is>
          <t>Binder</t>
        </is>
      </c>
      <c r="G1690" t="inlineStr">
        <is>
          <t>First Class</t>
        </is>
      </c>
      <c r="H1690" t="n">
        <v>9</v>
      </c>
      <c r="I1690" s="11" t="n">
        <v>132.17</v>
      </c>
      <c r="J1690" s="12" t="n">
        <v>0.3</v>
      </c>
      <c r="K1690" s="11" t="n">
        <v>832.67</v>
      </c>
      <c r="L1690" s="11" t="n">
        <v>-39.24</v>
      </c>
      <c r="M1690" s="12" t="n">
        <v>-0.0471</v>
      </c>
    </row>
    <row r="1691">
      <c r="A1691" t="inlineStr">
        <is>
          <t>ORD-10385</t>
        </is>
      </c>
      <c r="B1691" s="10" t="inlineStr">
        <is>
          <t>2025-09-02</t>
        </is>
      </c>
      <c r="C1691" t="inlineStr">
        <is>
          <t>Customer 143</t>
        </is>
      </c>
      <c r="D1691" t="inlineStr">
        <is>
          <t>South</t>
        </is>
      </c>
      <c r="E1691" t="inlineStr">
        <is>
          <t>Furniture</t>
        </is>
      </c>
      <c r="F1691" t="inlineStr">
        <is>
          <t>Desk</t>
        </is>
      </c>
      <c r="G1691" t="inlineStr">
        <is>
          <t>First Class</t>
        </is>
      </c>
      <c r="H1691" t="n">
        <v>5</v>
      </c>
      <c r="I1691" s="11" t="n">
        <v>1131.29</v>
      </c>
      <c r="J1691" s="12" t="n">
        <v>0.3</v>
      </c>
      <c r="K1691" s="11" t="n">
        <v>3959.51</v>
      </c>
      <c r="L1691" s="11" t="n">
        <v>317.2</v>
      </c>
      <c r="M1691" s="12" t="n">
        <v>0.0801</v>
      </c>
    </row>
    <row r="1692">
      <c r="A1692" t="inlineStr">
        <is>
          <t>ORD-10361</t>
        </is>
      </c>
      <c r="B1692" s="10" t="inlineStr">
        <is>
          <t>2025-09-03</t>
        </is>
      </c>
      <c r="C1692" t="inlineStr">
        <is>
          <t>Customer 25</t>
        </is>
      </c>
      <c r="D1692" t="inlineStr">
        <is>
          <t>West</t>
        </is>
      </c>
      <c r="E1692" t="inlineStr">
        <is>
          <t>Office Supplies</t>
        </is>
      </c>
      <c r="F1692" t="inlineStr">
        <is>
          <t>Binder</t>
        </is>
      </c>
      <c r="G1692" t="inlineStr">
        <is>
          <t>Standard Class</t>
        </is>
      </c>
      <c r="H1692" t="n">
        <v>2</v>
      </c>
      <c r="I1692" s="11" t="n">
        <v>246.87</v>
      </c>
      <c r="J1692" s="12" t="n">
        <v>0</v>
      </c>
      <c r="K1692" s="11" t="n">
        <v>493.74</v>
      </c>
      <c r="L1692" s="11" t="n">
        <v>163.68</v>
      </c>
      <c r="M1692" s="12" t="n">
        <v>0.3315</v>
      </c>
    </row>
    <row r="1693">
      <c r="A1693" t="inlineStr">
        <is>
          <t>ORD-10365</t>
        </is>
      </c>
      <c r="B1693" s="10" t="inlineStr">
        <is>
          <t>2025-09-03</t>
        </is>
      </c>
      <c r="C1693" t="inlineStr">
        <is>
          <t>Customer 50</t>
        </is>
      </c>
      <c r="D1693" t="inlineStr">
        <is>
          <t>West</t>
        </is>
      </c>
      <c r="E1693" t="inlineStr">
        <is>
          <t>Office Supplies</t>
        </is>
      </c>
      <c r="F1693" t="inlineStr">
        <is>
          <t>Binder</t>
        </is>
      </c>
      <c r="G1693" t="inlineStr">
        <is>
          <t>Standard Class</t>
        </is>
      </c>
      <c r="H1693" t="n">
        <v>7</v>
      </c>
      <c r="I1693" s="11" t="n">
        <v>711.6799999999999</v>
      </c>
      <c r="J1693" s="12" t="n">
        <v>0</v>
      </c>
      <c r="K1693" s="11" t="n">
        <v>4981.76</v>
      </c>
      <c r="L1693" s="11" t="n">
        <v>1712.79</v>
      </c>
      <c r="M1693" s="12" t="n">
        <v>0.3438</v>
      </c>
    </row>
    <row r="1694">
      <c r="A1694" t="inlineStr">
        <is>
          <t>ORD-10052</t>
        </is>
      </c>
      <c r="B1694" s="10" t="inlineStr">
        <is>
          <t>2025-09-03</t>
        </is>
      </c>
      <c r="C1694" t="inlineStr">
        <is>
          <t>Customer 100</t>
        </is>
      </c>
      <c r="D1694" t="inlineStr">
        <is>
          <t>North</t>
        </is>
      </c>
      <c r="E1694" t="inlineStr">
        <is>
          <t>Office Supplies</t>
        </is>
      </c>
      <c r="F1694" t="inlineStr">
        <is>
          <t>Stapler</t>
        </is>
      </c>
      <c r="G1694" t="inlineStr">
        <is>
          <t>First Class</t>
        </is>
      </c>
      <c r="H1694" t="n">
        <v>10</v>
      </c>
      <c r="I1694" s="11" t="n">
        <v>52.98</v>
      </c>
      <c r="J1694" s="12" t="n">
        <v>0</v>
      </c>
      <c r="K1694" s="11" t="n">
        <v>529.8</v>
      </c>
      <c r="L1694" s="11" t="n">
        <v>241.74</v>
      </c>
      <c r="M1694" s="12" t="n">
        <v>0.4563</v>
      </c>
    </row>
    <row r="1695">
      <c r="A1695" t="inlineStr">
        <is>
          <t>ORD-11705</t>
        </is>
      </c>
      <c r="B1695" s="10" t="inlineStr">
        <is>
          <t>2025-09-04</t>
        </is>
      </c>
      <c r="C1695" t="inlineStr">
        <is>
          <t>Customer 56</t>
        </is>
      </c>
      <c r="D1695" t="inlineStr">
        <is>
          <t>North</t>
        </is>
      </c>
      <c r="E1695" t="inlineStr">
        <is>
          <t>Technology</t>
        </is>
      </c>
      <c r="F1695" t="inlineStr">
        <is>
          <t>Wireless Mouse</t>
        </is>
      </c>
      <c r="G1695" t="inlineStr">
        <is>
          <t>Second Class</t>
        </is>
      </c>
      <c r="H1695" t="n">
        <v>8</v>
      </c>
      <c r="I1695" s="11" t="n">
        <v>1105.38</v>
      </c>
      <c r="J1695" s="12" t="n">
        <v>0</v>
      </c>
      <c r="K1695" s="11" t="n">
        <v>8843.040000000001</v>
      </c>
      <c r="L1695" s="11" t="n">
        <v>3718.06</v>
      </c>
      <c r="M1695" s="12" t="n">
        <v>0.4205</v>
      </c>
    </row>
    <row r="1696">
      <c r="A1696" t="inlineStr">
        <is>
          <t>ORD-11349</t>
        </is>
      </c>
      <c r="B1696" s="10" t="inlineStr">
        <is>
          <t>2025-09-05</t>
        </is>
      </c>
      <c r="C1696" t="inlineStr">
        <is>
          <t>Customer 178</t>
        </is>
      </c>
      <c r="D1696" t="inlineStr">
        <is>
          <t>North</t>
        </is>
      </c>
      <c r="E1696" t="inlineStr">
        <is>
          <t>Office Supplies</t>
        </is>
      </c>
      <c r="F1696" t="inlineStr">
        <is>
          <t>Binder</t>
        </is>
      </c>
      <c r="G1696" t="inlineStr">
        <is>
          <t>Second Class</t>
        </is>
      </c>
      <c r="H1696" t="n">
        <v>7</v>
      </c>
      <c r="I1696" s="11" t="n">
        <v>85.73</v>
      </c>
      <c r="J1696" s="12" t="n">
        <v>0</v>
      </c>
      <c r="K1696" s="11" t="n">
        <v>600.11</v>
      </c>
      <c r="L1696" s="11" t="n">
        <v>281.08</v>
      </c>
      <c r="M1696" s="12" t="n">
        <v>0.4684</v>
      </c>
    </row>
    <row r="1697">
      <c r="A1697" t="inlineStr">
        <is>
          <t>ORD-10487</t>
        </is>
      </c>
      <c r="B1697" s="10" t="inlineStr">
        <is>
          <t>2025-09-05</t>
        </is>
      </c>
      <c r="C1697" t="inlineStr">
        <is>
          <t>Customer 93</t>
        </is>
      </c>
      <c r="D1697" t="inlineStr">
        <is>
          <t>West</t>
        </is>
      </c>
      <c r="E1697" t="inlineStr">
        <is>
          <t>Furniture</t>
        </is>
      </c>
      <c r="F1697" t="inlineStr">
        <is>
          <t>Chair</t>
        </is>
      </c>
      <c r="G1697" t="inlineStr">
        <is>
          <t>Standard Class</t>
        </is>
      </c>
      <c r="H1697" t="n">
        <v>1</v>
      </c>
      <c r="I1697" s="11" t="n">
        <v>836.86</v>
      </c>
      <c r="J1697" s="12" t="n">
        <v>0</v>
      </c>
      <c r="K1697" s="11" t="n">
        <v>836.86</v>
      </c>
      <c r="L1697" s="11" t="n">
        <v>278.69</v>
      </c>
      <c r="M1697" s="12" t="n">
        <v>0.333</v>
      </c>
    </row>
    <row r="1698">
      <c r="A1698" t="inlineStr">
        <is>
          <t>ORD-11317</t>
        </is>
      </c>
      <c r="B1698" s="10" t="inlineStr">
        <is>
          <t>2025-09-06</t>
        </is>
      </c>
      <c r="C1698" t="inlineStr">
        <is>
          <t>Customer 112</t>
        </is>
      </c>
      <c r="D1698" t="inlineStr">
        <is>
          <t>West</t>
        </is>
      </c>
      <c r="E1698" t="inlineStr">
        <is>
          <t>Technology</t>
        </is>
      </c>
      <c r="F1698" t="inlineStr">
        <is>
          <t>Monitor</t>
        </is>
      </c>
      <c r="G1698" t="inlineStr">
        <is>
          <t>Second Class</t>
        </is>
      </c>
      <c r="H1698" t="n">
        <v>3</v>
      </c>
      <c r="I1698" s="11" t="n">
        <v>228.21</v>
      </c>
      <c r="J1698" s="12" t="n">
        <v>0</v>
      </c>
      <c r="K1698" s="11" t="n">
        <v>684.63</v>
      </c>
      <c r="L1698" s="11" t="n">
        <v>207.21</v>
      </c>
      <c r="M1698" s="12" t="n">
        <v>0.3027</v>
      </c>
    </row>
    <row r="1699">
      <c r="A1699" t="inlineStr">
        <is>
          <t>ORD-10670</t>
        </is>
      </c>
      <c r="B1699" s="10" t="inlineStr">
        <is>
          <t>2025-09-06</t>
        </is>
      </c>
      <c r="C1699" t="inlineStr">
        <is>
          <t>Customer 146</t>
        </is>
      </c>
      <c r="D1699" t="inlineStr">
        <is>
          <t>West</t>
        </is>
      </c>
      <c r="E1699" t="inlineStr">
        <is>
          <t>Office Supplies</t>
        </is>
      </c>
      <c r="F1699" t="inlineStr">
        <is>
          <t>Paper</t>
        </is>
      </c>
      <c r="G1699" t="inlineStr">
        <is>
          <t>First Class</t>
        </is>
      </c>
      <c r="H1699" t="n">
        <v>2</v>
      </c>
      <c r="I1699" s="11" t="n">
        <v>1168.53</v>
      </c>
      <c r="J1699" s="12" t="n">
        <v>0.1</v>
      </c>
      <c r="K1699" s="11" t="n">
        <v>2103.35</v>
      </c>
      <c r="L1699" s="11" t="n">
        <v>394.59</v>
      </c>
      <c r="M1699" s="12" t="n">
        <v>0.1876</v>
      </c>
    </row>
    <row r="1700">
      <c r="A1700" t="inlineStr">
        <is>
          <t>ORD-10064</t>
        </is>
      </c>
      <c r="B1700" s="10" t="inlineStr">
        <is>
          <t>2025-09-06</t>
        </is>
      </c>
      <c r="C1700" t="inlineStr">
        <is>
          <t>Customer 20</t>
        </is>
      </c>
      <c r="D1700" t="inlineStr">
        <is>
          <t>South</t>
        </is>
      </c>
      <c r="E1700" t="inlineStr">
        <is>
          <t>Furniture</t>
        </is>
      </c>
      <c r="F1700" t="inlineStr">
        <is>
          <t>Chair</t>
        </is>
      </c>
      <c r="G1700" t="inlineStr">
        <is>
          <t>Standard Class</t>
        </is>
      </c>
      <c r="H1700" t="n">
        <v>10</v>
      </c>
      <c r="I1700" s="11" t="n">
        <v>71.40000000000001</v>
      </c>
      <c r="J1700" s="12" t="n">
        <v>0</v>
      </c>
      <c r="K1700" s="11" t="n">
        <v>714</v>
      </c>
      <c r="L1700" s="11" t="n">
        <v>273.5</v>
      </c>
      <c r="M1700" s="12" t="n">
        <v>0.3831</v>
      </c>
    </row>
    <row r="1701">
      <c r="A1701" t="inlineStr">
        <is>
          <t>ORD-10260</t>
        </is>
      </c>
      <c r="B1701" s="10" t="inlineStr">
        <is>
          <t>2025-09-06</t>
        </is>
      </c>
      <c r="C1701" t="inlineStr">
        <is>
          <t>Customer 95</t>
        </is>
      </c>
      <c r="D1701" t="inlineStr">
        <is>
          <t>West</t>
        </is>
      </c>
      <c r="E1701" t="inlineStr">
        <is>
          <t>Office Supplies</t>
        </is>
      </c>
      <c r="F1701" t="inlineStr">
        <is>
          <t>Paper</t>
        </is>
      </c>
      <c r="G1701" t="inlineStr">
        <is>
          <t>Standard Class</t>
        </is>
      </c>
      <c r="H1701" t="n">
        <v>9</v>
      </c>
      <c r="I1701" s="11" t="n">
        <v>399.59</v>
      </c>
      <c r="J1701" s="12" t="n">
        <v>0.1</v>
      </c>
      <c r="K1701" s="11" t="n">
        <v>3236.68</v>
      </c>
      <c r="L1701" s="11" t="n">
        <v>360.55</v>
      </c>
      <c r="M1701" s="12" t="n">
        <v>0.1114</v>
      </c>
    </row>
    <row r="1702">
      <c r="A1702" t="inlineStr">
        <is>
          <t>ORD-11946</t>
        </is>
      </c>
      <c r="B1702" s="10" t="inlineStr">
        <is>
          <t>2025-09-07</t>
        </is>
      </c>
      <c r="C1702" t="inlineStr">
        <is>
          <t>Customer 133</t>
        </is>
      </c>
      <c r="D1702" t="inlineStr">
        <is>
          <t>North</t>
        </is>
      </c>
      <c r="E1702" t="inlineStr">
        <is>
          <t>Technology</t>
        </is>
      </c>
      <c r="F1702" t="inlineStr">
        <is>
          <t>Printer</t>
        </is>
      </c>
      <c r="G1702" t="inlineStr">
        <is>
          <t>Second Class</t>
        </is>
      </c>
      <c r="H1702" t="n">
        <v>10</v>
      </c>
      <c r="I1702" s="11" t="n">
        <v>99.34</v>
      </c>
      <c r="J1702" s="12" t="n">
        <v>0.15</v>
      </c>
      <c r="K1702" s="11" t="n">
        <v>844.39</v>
      </c>
      <c r="L1702" s="11" t="n">
        <v>228.39</v>
      </c>
      <c r="M1702" s="12" t="n">
        <v>0.2705</v>
      </c>
    </row>
    <row r="1703">
      <c r="A1703" t="inlineStr">
        <is>
          <t>ORD-10776</t>
        </is>
      </c>
      <c r="B1703" s="10" t="inlineStr">
        <is>
          <t>2025-09-07</t>
        </is>
      </c>
      <c r="C1703" t="inlineStr">
        <is>
          <t>Customer 113</t>
        </is>
      </c>
      <c r="D1703" t="inlineStr">
        <is>
          <t>East</t>
        </is>
      </c>
      <c r="E1703" t="inlineStr">
        <is>
          <t>Office Supplies</t>
        </is>
      </c>
      <c r="F1703" t="inlineStr">
        <is>
          <t>Paper</t>
        </is>
      </c>
      <c r="G1703" t="inlineStr">
        <is>
          <t>Same Day</t>
        </is>
      </c>
      <c r="H1703" t="n">
        <v>4</v>
      </c>
      <c r="I1703" s="11" t="n">
        <v>747.67</v>
      </c>
      <c r="J1703" s="12" t="n">
        <v>0</v>
      </c>
      <c r="K1703" s="11" t="n">
        <v>2990.68</v>
      </c>
      <c r="L1703" s="11" t="n">
        <v>1161.46</v>
      </c>
      <c r="M1703" s="12" t="n">
        <v>0.3884</v>
      </c>
    </row>
    <row r="1704">
      <c r="A1704" t="inlineStr">
        <is>
          <t>ORD-10152</t>
        </is>
      </c>
      <c r="B1704" s="10" t="inlineStr">
        <is>
          <t>2025-09-07</t>
        </is>
      </c>
      <c r="C1704" t="inlineStr">
        <is>
          <t>Customer 154</t>
        </is>
      </c>
      <c r="D1704" t="inlineStr">
        <is>
          <t>South</t>
        </is>
      </c>
      <c r="E1704" t="inlineStr">
        <is>
          <t>Office Supplies</t>
        </is>
      </c>
      <c r="F1704" t="inlineStr">
        <is>
          <t>Pens (Box)</t>
        </is>
      </c>
      <c r="G1704" t="inlineStr">
        <is>
          <t>Same Day</t>
        </is>
      </c>
      <c r="H1704" t="n">
        <v>4</v>
      </c>
      <c r="I1704" s="11" t="n">
        <v>1173.95</v>
      </c>
      <c r="J1704" s="12" t="n">
        <v>0.1</v>
      </c>
      <c r="K1704" s="11" t="n">
        <v>4226.22</v>
      </c>
      <c r="L1704" s="11" t="n">
        <v>621.5700000000001</v>
      </c>
      <c r="M1704" s="12" t="n">
        <v>0.1471</v>
      </c>
    </row>
    <row r="1705">
      <c r="A1705" t="inlineStr">
        <is>
          <t>ORD-11689</t>
        </is>
      </c>
      <c r="B1705" s="10" t="inlineStr">
        <is>
          <t>2025-09-08</t>
        </is>
      </c>
      <c r="C1705" t="inlineStr">
        <is>
          <t>Customer 56</t>
        </is>
      </c>
      <c r="D1705" t="inlineStr">
        <is>
          <t>North</t>
        </is>
      </c>
      <c r="E1705" t="inlineStr">
        <is>
          <t>Office Supplies</t>
        </is>
      </c>
      <c r="F1705" t="inlineStr">
        <is>
          <t>Binder</t>
        </is>
      </c>
      <c r="G1705" t="inlineStr">
        <is>
          <t>Standard Class</t>
        </is>
      </c>
      <c r="H1705" t="n">
        <v>4</v>
      </c>
      <c r="I1705" s="11" t="n">
        <v>1148.03</v>
      </c>
      <c r="J1705" s="12" t="n">
        <v>0</v>
      </c>
      <c r="K1705" s="11" t="n">
        <v>4592.12</v>
      </c>
      <c r="L1705" s="11" t="n">
        <v>2162.86</v>
      </c>
      <c r="M1705" s="12" t="n">
        <v>0.471</v>
      </c>
    </row>
    <row r="1706">
      <c r="A1706" t="inlineStr">
        <is>
          <t>ORD-11963</t>
        </is>
      </c>
      <c r="B1706" s="10" t="inlineStr">
        <is>
          <t>2025-09-10</t>
        </is>
      </c>
      <c r="C1706" t="inlineStr">
        <is>
          <t>Customer 85</t>
        </is>
      </c>
      <c r="D1706" t="inlineStr">
        <is>
          <t>East</t>
        </is>
      </c>
      <c r="E1706" t="inlineStr">
        <is>
          <t>Furniture</t>
        </is>
      </c>
      <c r="F1706" t="inlineStr">
        <is>
          <t>Table Lamp</t>
        </is>
      </c>
      <c r="G1706" t="inlineStr">
        <is>
          <t>Standard Class</t>
        </is>
      </c>
      <c r="H1706" t="n">
        <v>11</v>
      </c>
      <c r="I1706" s="11" t="n">
        <v>758.6</v>
      </c>
      <c r="J1706" s="12" t="n">
        <v>0</v>
      </c>
      <c r="K1706" s="11" t="n">
        <v>8344.6</v>
      </c>
      <c r="L1706" s="11" t="n">
        <v>3946.41</v>
      </c>
      <c r="M1706" s="12" t="n">
        <v>0.4729</v>
      </c>
    </row>
    <row r="1707">
      <c r="A1707" t="inlineStr">
        <is>
          <t>ORD-10892</t>
        </is>
      </c>
      <c r="B1707" s="10" t="inlineStr">
        <is>
          <t>2025-09-10</t>
        </is>
      </c>
      <c r="C1707" t="inlineStr">
        <is>
          <t>Customer 115</t>
        </is>
      </c>
      <c r="D1707" t="inlineStr">
        <is>
          <t>East</t>
        </is>
      </c>
      <c r="E1707" t="inlineStr">
        <is>
          <t>Furniture</t>
        </is>
      </c>
      <c r="F1707" t="inlineStr">
        <is>
          <t>Bookcase</t>
        </is>
      </c>
      <c r="G1707" t="inlineStr">
        <is>
          <t>Same Day</t>
        </is>
      </c>
      <c r="H1707" t="n">
        <v>6</v>
      </c>
      <c r="I1707" s="11" t="n">
        <v>37.92</v>
      </c>
      <c r="J1707" s="12" t="n">
        <v>0.1</v>
      </c>
      <c r="K1707" s="11" t="n">
        <v>204.77</v>
      </c>
      <c r="L1707" s="11" t="n">
        <v>81.72</v>
      </c>
      <c r="M1707" s="12" t="n">
        <v>0.3991</v>
      </c>
    </row>
    <row r="1708">
      <c r="A1708" t="inlineStr">
        <is>
          <t>ORD-10228</t>
        </is>
      </c>
      <c r="B1708" s="10" t="inlineStr">
        <is>
          <t>2025-09-10</t>
        </is>
      </c>
      <c r="C1708" t="inlineStr">
        <is>
          <t>Customer 56</t>
        </is>
      </c>
      <c r="D1708" t="inlineStr">
        <is>
          <t>North</t>
        </is>
      </c>
      <c r="E1708" t="inlineStr">
        <is>
          <t>Furniture</t>
        </is>
      </c>
      <c r="F1708" t="inlineStr">
        <is>
          <t>Table Lamp</t>
        </is>
      </c>
      <c r="G1708" t="inlineStr">
        <is>
          <t>Second Class</t>
        </is>
      </c>
      <c r="H1708" t="n">
        <v>1</v>
      </c>
      <c r="I1708" s="11" t="n">
        <v>1193.81</v>
      </c>
      <c r="J1708" s="12" t="n">
        <v>0.15</v>
      </c>
      <c r="K1708" s="11" t="n">
        <v>1014.74</v>
      </c>
      <c r="L1708" s="11" t="n">
        <v>46.01</v>
      </c>
      <c r="M1708" s="12" t="n">
        <v>0.0453</v>
      </c>
    </row>
    <row r="1709">
      <c r="A1709" t="inlineStr">
        <is>
          <t>ORD-10885</t>
        </is>
      </c>
      <c r="B1709" s="10" t="inlineStr">
        <is>
          <t>2025-09-10</t>
        </is>
      </c>
      <c r="C1709" t="inlineStr">
        <is>
          <t>Customer 8</t>
        </is>
      </c>
      <c r="D1709" t="inlineStr">
        <is>
          <t>East</t>
        </is>
      </c>
      <c r="E1709" t="inlineStr">
        <is>
          <t>Office Supplies</t>
        </is>
      </c>
      <c r="F1709" t="inlineStr">
        <is>
          <t>Pens (Box)</t>
        </is>
      </c>
      <c r="G1709" t="inlineStr">
        <is>
          <t>Standard Class</t>
        </is>
      </c>
      <c r="H1709" t="n">
        <v>3</v>
      </c>
      <c r="I1709" s="11" t="n">
        <v>124.63</v>
      </c>
      <c r="J1709" s="12" t="n">
        <v>0.1</v>
      </c>
      <c r="K1709" s="11" t="n">
        <v>336.5</v>
      </c>
      <c r="L1709" s="11" t="n">
        <v>19.37</v>
      </c>
      <c r="M1709" s="12" t="n">
        <v>0.0576</v>
      </c>
    </row>
    <row r="1710">
      <c r="A1710" t="inlineStr">
        <is>
          <t>ORD-10892</t>
        </is>
      </c>
      <c r="B1710" s="10" t="inlineStr">
        <is>
          <t>2025-09-10</t>
        </is>
      </c>
      <c r="C1710" t="inlineStr">
        <is>
          <t>Customer 115</t>
        </is>
      </c>
      <c r="D1710" t="inlineStr">
        <is>
          <t>East</t>
        </is>
      </c>
      <c r="E1710" t="inlineStr">
        <is>
          <t>Furniture</t>
        </is>
      </c>
      <c r="F1710" t="inlineStr">
        <is>
          <t>Bookcase</t>
        </is>
      </c>
      <c r="G1710" t="inlineStr">
        <is>
          <t>Same Day</t>
        </is>
      </c>
      <c r="H1710" t="n">
        <v>6</v>
      </c>
      <c r="I1710" s="11" t="n">
        <v>37.92</v>
      </c>
      <c r="J1710" s="12" t="n">
        <v>0.1</v>
      </c>
      <c r="K1710" s="11" t="n">
        <v>204.77</v>
      </c>
      <c r="L1710" s="11" t="n">
        <v>81.72</v>
      </c>
      <c r="M1710" s="12" t="n">
        <v>0.3991</v>
      </c>
    </row>
    <row r="1711">
      <c r="A1711" t="inlineStr">
        <is>
          <t>ORD-11665</t>
        </is>
      </c>
      <c r="B1711" s="10" t="inlineStr">
        <is>
          <t>2025-09-11</t>
        </is>
      </c>
      <c r="C1711" t="inlineStr">
        <is>
          <t>Customer 12</t>
        </is>
      </c>
      <c r="D1711" t="inlineStr">
        <is>
          <t>West</t>
        </is>
      </c>
      <c r="E1711" t="inlineStr">
        <is>
          <t>Technology</t>
        </is>
      </c>
      <c r="F1711" t="inlineStr">
        <is>
          <t>Printer</t>
        </is>
      </c>
      <c r="G1711" t="inlineStr">
        <is>
          <t>Standard Class</t>
        </is>
      </c>
      <c r="H1711" t="n">
        <v>7</v>
      </c>
      <c r="I1711" s="11" t="n">
        <v>964.35</v>
      </c>
      <c r="J1711" s="12" t="n">
        <v>0</v>
      </c>
      <c r="K1711" s="11" t="n">
        <v>6750.45</v>
      </c>
      <c r="L1711" s="11" t="n">
        <v>2130.07</v>
      </c>
      <c r="M1711" s="12" t="n">
        <v>0.3155</v>
      </c>
    </row>
    <row r="1712">
      <c r="A1712" t="inlineStr">
        <is>
          <t>ORD-10288</t>
        </is>
      </c>
      <c r="B1712" s="10" t="inlineStr">
        <is>
          <t>2025-09-11</t>
        </is>
      </c>
      <c r="C1712" t="inlineStr">
        <is>
          <t>Customer 58</t>
        </is>
      </c>
      <c r="D1712" t="inlineStr">
        <is>
          <t>North</t>
        </is>
      </c>
      <c r="E1712" t="inlineStr">
        <is>
          <t>Office Supplies</t>
        </is>
      </c>
      <c r="F1712" t="inlineStr">
        <is>
          <t>Stapler</t>
        </is>
      </c>
      <c r="G1712" t="inlineStr">
        <is>
          <t>Same Day</t>
        </is>
      </c>
      <c r="H1712" t="n">
        <v>3</v>
      </c>
      <c r="I1712" s="11" t="n">
        <v>569.6</v>
      </c>
      <c r="J1712" s="12" t="n">
        <v>0</v>
      </c>
      <c r="K1712" s="11" t="n">
        <v>1708.8</v>
      </c>
      <c r="L1712" s="11" t="n">
        <v>667.67</v>
      </c>
      <c r="M1712" s="12" t="n">
        <v>0.3907</v>
      </c>
    </row>
    <row r="1713">
      <c r="A1713" t="inlineStr">
        <is>
          <t>ORD-10831</t>
        </is>
      </c>
      <c r="B1713" s="10" t="inlineStr">
        <is>
          <t>2025-09-11</t>
        </is>
      </c>
      <c r="C1713" t="inlineStr">
        <is>
          <t>Customer 31</t>
        </is>
      </c>
      <c r="D1713" t="inlineStr">
        <is>
          <t>South</t>
        </is>
      </c>
      <c r="E1713" t="inlineStr">
        <is>
          <t>Furniture</t>
        </is>
      </c>
      <c r="F1713" t="inlineStr">
        <is>
          <t>Table Lamp</t>
        </is>
      </c>
      <c r="G1713" t="inlineStr">
        <is>
          <t>First Class</t>
        </is>
      </c>
      <c r="H1713" t="n">
        <v>11</v>
      </c>
      <c r="I1713" s="11" t="n">
        <v>370.98</v>
      </c>
      <c r="J1713" s="12" t="n">
        <v>0</v>
      </c>
      <c r="K1713" s="11" t="n">
        <v>4080.78</v>
      </c>
      <c r="L1713" s="11" t="n">
        <v>1676.32</v>
      </c>
      <c r="M1713" s="12" t="n">
        <v>0.4108</v>
      </c>
    </row>
    <row r="1714">
      <c r="A1714" t="inlineStr">
        <is>
          <t>ORD-11306</t>
        </is>
      </c>
      <c r="B1714" s="10" t="inlineStr">
        <is>
          <t>2025-09-11</t>
        </is>
      </c>
      <c r="C1714" t="inlineStr">
        <is>
          <t>Customer 195</t>
        </is>
      </c>
      <c r="D1714" t="inlineStr">
        <is>
          <t>West</t>
        </is>
      </c>
      <c r="E1714" t="inlineStr">
        <is>
          <t>Furniture</t>
        </is>
      </c>
      <c r="F1714" t="inlineStr">
        <is>
          <t>Chair</t>
        </is>
      </c>
      <c r="G1714" t="inlineStr">
        <is>
          <t>Second Class</t>
        </is>
      </c>
      <c r="H1714" t="n">
        <v>6</v>
      </c>
      <c r="I1714" s="11" t="n">
        <v>437.5</v>
      </c>
      <c r="J1714" s="12" t="n">
        <v>0</v>
      </c>
      <c r="K1714" s="11" t="n">
        <v>2625</v>
      </c>
      <c r="L1714" s="11" t="n">
        <v>910.16</v>
      </c>
      <c r="M1714" s="12" t="n">
        <v>0.3467</v>
      </c>
    </row>
    <row r="1715">
      <c r="A1715" t="inlineStr">
        <is>
          <t>ORD-10278</t>
        </is>
      </c>
      <c r="B1715" s="10" t="inlineStr">
        <is>
          <t>2025-09-11</t>
        </is>
      </c>
      <c r="C1715" t="inlineStr">
        <is>
          <t>Customer 23</t>
        </is>
      </c>
      <c r="D1715" t="inlineStr">
        <is>
          <t>North</t>
        </is>
      </c>
      <c r="E1715" t="inlineStr">
        <is>
          <t>Office Supplies</t>
        </is>
      </c>
      <c r="F1715" t="inlineStr">
        <is>
          <t>Paper</t>
        </is>
      </c>
      <c r="G1715" t="inlineStr">
        <is>
          <t>Second Class</t>
        </is>
      </c>
      <c r="H1715" t="n">
        <v>1</v>
      </c>
      <c r="I1715" s="11" t="n">
        <v>190.7</v>
      </c>
      <c r="J1715" s="12" t="n">
        <v>0</v>
      </c>
      <c r="K1715" s="11" t="n">
        <v>190.7</v>
      </c>
      <c r="L1715" s="11" t="n">
        <v>65.67</v>
      </c>
      <c r="M1715" s="12" t="n">
        <v>0.3444</v>
      </c>
    </row>
    <row r="1716">
      <c r="A1716" t="inlineStr">
        <is>
          <t>ORD-10807</t>
        </is>
      </c>
      <c r="B1716" s="10" t="inlineStr">
        <is>
          <t>2025-09-11</t>
        </is>
      </c>
      <c r="C1716" t="inlineStr">
        <is>
          <t>Customer 194</t>
        </is>
      </c>
      <c r="D1716" t="inlineStr">
        <is>
          <t>South</t>
        </is>
      </c>
      <c r="E1716" t="inlineStr">
        <is>
          <t>Furniture</t>
        </is>
      </c>
      <c r="F1716" t="inlineStr">
        <is>
          <t>Table Lamp</t>
        </is>
      </c>
      <c r="G1716" t="inlineStr">
        <is>
          <t>Second Class</t>
        </is>
      </c>
      <c r="H1716" t="n">
        <v>4</v>
      </c>
      <c r="I1716" s="11" t="n">
        <v>55.6</v>
      </c>
      <c r="J1716" s="12" t="n">
        <v>0.15</v>
      </c>
      <c r="K1716" s="11" t="n">
        <v>189.04</v>
      </c>
      <c r="L1716" s="11" t="n">
        <v>32.5</v>
      </c>
      <c r="M1716" s="12" t="n">
        <v>0.1719</v>
      </c>
    </row>
    <row r="1717">
      <c r="A1717" t="inlineStr">
        <is>
          <t>ORD-11770</t>
        </is>
      </c>
      <c r="B1717" s="10" t="inlineStr">
        <is>
          <t>2025-09-11</t>
        </is>
      </c>
      <c r="C1717" t="inlineStr">
        <is>
          <t>Customer 113</t>
        </is>
      </c>
      <c r="D1717" t="inlineStr">
        <is>
          <t>East</t>
        </is>
      </c>
      <c r="E1717" t="inlineStr">
        <is>
          <t>Office Supplies</t>
        </is>
      </c>
      <c r="F1717" t="inlineStr">
        <is>
          <t>Paper</t>
        </is>
      </c>
      <c r="G1717" t="inlineStr">
        <is>
          <t>Standard Class</t>
        </is>
      </c>
      <c r="H1717" t="n">
        <v>2</v>
      </c>
      <c r="I1717" s="11" t="n">
        <v>157.43</v>
      </c>
      <c r="J1717" s="12" t="n">
        <v>0</v>
      </c>
      <c r="K1717" s="11" t="n">
        <v>314.86</v>
      </c>
      <c r="L1717" s="11" t="n">
        <v>47.94</v>
      </c>
      <c r="M1717" s="12" t="n">
        <v>0.1523</v>
      </c>
    </row>
    <row r="1718">
      <c r="A1718" t="inlineStr">
        <is>
          <t>ORD-10329</t>
        </is>
      </c>
      <c r="B1718" s="10" t="inlineStr">
        <is>
          <t>2025-09-12</t>
        </is>
      </c>
      <c r="C1718" t="inlineStr">
        <is>
          <t>Customer 112</t>
        </is>
      </c>
      <c r="D1718" t="inlineStr">
        <is>
          <t>West</t>
        </is>
      </c>
      <c r="E1718" t="inlineStr">
        <is>
          <t>Furniture</t>
        </is>
      </c>
      <c r="F1718" t="inlineStr">
        <is>
          <t>Table Lamp</t>
        </is>
      </c>
      <c r="G1718" t="inlineStr">
        <is>
          <t>Same Day</t>
        </is>
      </c>
      <c r="H1718" t="n">
        <v>11</v>
      </c>
      <c r="I1718" s="11" t="n">
        <v>899.47</v>
      </c>
      <c r="J1718" s="12" t="n">
        <v>0.15</v>
      </c>
      <c r="K1718" s="11" t="n">
        <v>8410.040000000001</v>
      </c>
      <c r="L1718" s="11" t="n">
        <v>2990.36</v>
      </c>
      <c r="M1718" s="12" t="n">
        <v>0.3556</v>
      </c>
    </row>
    <row r="1719">
      <c r="A1719" t="inlineStr">
        <is>
          <t>ORD-11470</t>
        </is>
      </c>
      <c r="B1719" s="10" t="inlineStr">
        <is>
          <t>2025-09-12</t>
        </is>
      </c>
      <c r="C1719" t="inlineStr">
        <is>
          <t>Customer 12</t>
        </is>
      </c>
      <c r="D1719" t="inlineStr">
        <is>
          <t>West</t>
        </is>
      </c>
      <c r="E1719" t="inlineStr">
        <is>
          <t>Furniture</t>
        </is>
      </c>
      <c r="F1719" t="inlineStr">
        <is>
          <t>Desk</t>
        </is>
      </c>
      <c r="G1719" t="inlineStr">
        <is>
          <t>Same Day</t>
        </is>
      </c>
      <c r="H1719" t="n">
        <v>1</v>
      </c>
      <c r="I1719" s="11" t="n">
        <v>962.14</v>
      </c>
      <c r="J1719" s="12" t="n">
        <v>0</v>
      </c>
      <c r="K1719" s="11" t="n">
        <v>962.14</v>
      </c>
      <c r="L1719" s="11" t="n">
        <v>254.3</v>
      </c>
      <c r="M1719" s="12" t="n">
        <v>0.2643</v>
      </c>
    </row>
    <row r="1720">
      <c r="A1720" t="inlineStr">
        <is>
          <t>ORD-10558</t>
        </is>
      </c>
      <c r="B1720" s="10" t="inlineStr">
        <is>
          <t>2025-09-13</t>
        </is>
      </c>
      <c r="C1720" t="inlineStr">
        <is>
          <t>Customer 123</t>
        </is>
      </c>
      <c r="D1720" t="inlineStr">
        <is>
          <t>East</t>
        </is>
      </c>
      <c r="E1720" t="inlineStr">
        <is>
          <t>Technology</t>
        </is>
      </c>
      <c r="F1720" t="inlineStr">
        <is>
          <t>Printer</t>
        </is>
      </c>
      <c r="G1720" t="inlineStr">
        <is>
          <t>Same Day</t>
        </is>
      </c>
      <c r="H1720" t="n">
        <v>8</v>
      </c>
      <c r="I1720" s="11" t="n">
        <v>520.47</v>
      </c>
      <c r="J1720" s="12" t="n">
        <v>0.15</v>
      </c>
      <c r="K1720" s="11" t="n">
        <v>3539.2</v>
      </c>
      <c r="L1720" s="11" t="n">
        <v>292.41</v>
      </c>
      <c r="M1720" s="12" t="n">
        <v>0.08260000000000001</v>
      </c>
    </row>
    <row r="1721">
      <c r="A1721" t="inlineStr">
        <is>
          <t>ORD-10691</t>
        </is>
      </c>
      <c r="B1721" s="10" t="inlineStr">
        <is>
          <t>2025-09-13</t>
        </is>
      </c>
      <c r="C1721" t="inlineStr">
        <is>
          <t>Customer 194</t>
        </is>
      </c>
      <c r="D1721" t="inlineStr">
        <is>
          <t>South</t>
        </is>
      </c>
      <c r="E1721" t="inlineStr">
        <is>
          <t>Office Supplies</t>
        </is>
      </c>
      <c r="F1721" t="inlineStr">
        <is>
          <t>Paper</t>
        </is>
      </c>
      <c r="G1721" t="inlineStr">
        <is>
          <t>Same Day</t>
        </is>
      </c>
      <c r="H1721" t="n">
        <v>6</v>
      </c>
      <c r="I1721" s="11" t="n">
        <v>1095.72</v>
      </c>
      <c r="J1721" s="12" t="n">
        <v>0</v>
      </c>
      <c r="K1721" s="11" t="n">
        <v>6574.32</v>
      </c>
      <c r="L1721" s="11" t="n">
        <v>1254.1</v>
      </c>
      <c r="M1721" s="12" t="n">
        <v>0.1908</v>
      </c>
    </row>
    <row r="1722">
      <c r="A1722" t="inlineStr">
        <is>
          <t>ORD-10189</t>
        </is>
      </c>
      <c r="B1722" s="10" t="inlineStr">
        <is>
          <t>2025-09-13</t>
        </is>
      </c>
      <c r="C1722" t="inlineStr">
        <is>
          <t>Customer 154</t>
        </is>
      </c>
      <c r="D1722" t="inlineStr">
        <is>
          <t>South</t>
        </is>
      </c>
      <c r="E1722" t="inlineStr">
        <is>
          <t>Furniture</t>
        </is>
      </c>
      <c r="F1722" t="inlineStr">
        <is>
          <t>Bookcase</t>
        </is>
      </c>
      <c r="G1722" t="inlineStr">
        <is>
          <t>Standard Class</t>
        </is>
      </c>
      <c r="H1722" t="n">
        <v>9</v>
      </c>
      <c r="I1722" s="11" t="n">
        <v>400.21</v>
      </c>
      <c r="J1722" s="12" t="n">
        <v>0.15</v>
      </c>
      <c r="K1722" s="11" t="n">
        <v>3061.61</v>
      </c>
      <c r="L1722" s="11" t="n">
        <v>790.36</v>
      </c>
      <c r="M1722" s="12" t="n">
        <v>0.2582</v>
      </c>
    </row>
    <row r="1723">
      <c r="A1723" t="inlineStr">
        <is>
          <t>ORD-10317</t>
        </is>
      </c>
      <c r="B1723" s="10" t="inlineStr">
        <is>
          <t>2025-09-13</t>
        </is>
      </c>
      <c r="C1723" t="inlineStr">
        <is>
          <t>Customer 53</t>
        </is>
      </c>
      <c r="D1723" t="inlineStr">
        <is>
          <t>South</t>
        </is>
      </c>
      <c r="E1723" t="inlineStr">
        <is>
          <t>Technology</t>
        </is>
      </c>
      <c r="F1723" t="inlineStr">
        <is>
          <t>Printer</t>
        </is>
      </c>
      <c r="G1723" t="inlineStr">
        <is>
          <t>First Class</t>
        </is>
      </c>
      <c r="H1723" t="n">
        <v>10</v>
      </c>
      <c r="I1723" s="11" t="n">
        <v>121.97</v>
      </c>
      <c r="J1723" s="12" t="n">
        <v>0</v>
      </c>
      <c r="K1723" s="11" t="n">
        <v>1219.7</v>
      </c>
      <c r="L1723" s="11" t="n">
        <v>433.04</v>
      </c>
      <c r="M1723" s="12" t="n">
        <v>0.355</v>
      </c>
    </row>
    <row r="1724">
      <c r="A1724" t="inlineStr">
        <is>
          <t>ORD-10558</t>
        </is>
      </c>
      <c r="B1724" s="10" t="inlineStr">
        <is>
          <t>2025-09-13</t>
        </is>
      </c>
      <c r="C1724" t="inlineStr">
        <is>
          <t>Customer 123</t>
        </is>
      </c>
      <c r="D1724" t="inlineStr">
        <is>
          <t>East</t>
        </is>
      </c>
      <c r="E1724" t="inlineStr">
        <is>
          <t>Technology</t>
        </is>
      </c>
      <c r="F1724" t="inlineStr">
        <is>
          <t>Printer</t>
        </is>
      </c>
      <c r="G1724" t="inlineStr">
        <is>
          <t>Same Day</t>
        </is>
      </c>
      <c r="H1724" t="n">
        <v>8</v>
      </c>
      <c r="I1724" s="11" t="n">
        <v>520.47</v>
      </c>
      <c r="J1724" s="12" t="n">
        <v>0.15</v>
      </c>
      <c r="K1724" s="11" t="n">
        <v>3539.2</v>
      </c>
      <c r="L1724" s="11" t="n">
        <v>292.41</v>
      </c>
      <c r="M1724" s="12" t="n">
        <v>0.08260000000000001</v>
      </c>
    </row>
    <row r="1725">
      <c r="A1725" t="inlineStr">
        <is>
          <t>ORD-10357</t>
        </is>
      </c>
      <c r="B1725" s="10" t="inlineStr">
        <is>
          <t>2025-09-13</t>
        </is>
      </c>
      <c r="C1725" t="inlineStr">
        <is>
          <t>Customer 125</t>
        </is>
      </c>
      <c r="D1725" t="inlineStr">
        <is>
          <t>West</t>
        </is>
      </c>
      <c r="E1725" t="inlineStr">
        <is>
          <t>Technology</t>
        </is>
      </c>
      <c r="F1725" t="inlineStr">
        <is>
          <t>Monitor</t>
        </is>
      </c>
      <c r="G1725" t="inlineStr">
        <is>
          <t>Same Day</t>
        </is>
      </c>
      <c r="H1725" t="n">
        <v>2</v>
      </c>
      <c r="I1725" s="11" t="n">
        <v>287.86</v>
      </c>
      <c r="J1725" s="12" t="n">
        <v>0</v>
      </c>
      <c r="K1725" s="11" t="n">
        <v>575.72</v>
      </c>
      <c r="L1725" s="11" t="n">
        <v>274.28</v>
      </c>
      <c r="M1725" s="12" t="n">
        <v>0.4764</v>
      </c>
    </row>
    <row r="1726">
      <c r="A1726" t="inlineStr">
        <is>
          <t>ORD-11082</t>
        </is>
      </c>
      <c r="B1726" s="10" t="inlineStr">
        <is>
          <t>2025-09-13</t>
        </is>
      </c>
      <c r="C1726" t="inlineStr">
        <is>
          <t>Customer 81</t>
        </is>
      </c>
      <c r="D1726" t="inlineStr">
        <is>
          <t>West</t>
        </is>
      </c>
      <c r="E1726" t="inlineStr">
        <is>
          <t>Office Supplies</t>
        </is>
      </c>
      <c r="F1726" t="inlineStr">
        <is>
          <t>Binder</t>
        </is>
      </c>
      <c r="G1726" t="inlineStr">
        <is>
          <t>Standard Class</t>
        </is>
      </c>
      <c r="H1726" t="n">
        <v>10</v>
      </c>
      <c r="I1726" s="11" t="n">
        <v>368.99</v>
      </c>
      <c r="J1726" s="12" t="n">
        <v>0</v>
      </c>
      <c r="K1726" s="11" t="n">
        <v>3689.9</v>
      </c>
      <c r="L1726" s="11" t="n">
        <v>985.37</v>
      </c>
      <c r="M1726" s="12" t="n">
        <v>0.267</v>
      </c>
    </row>
    <row r="1727">
      <c r="A1727" t="inlineStr">
        <is>
          <t>ORD-10128</t>
        </is>
      </c>
      <c r="B1727" s="10" t="inlineStr">
        <is>
          <t>2025-09-13</t>
        </is>
      </c>
      <c r="C1727" t="inlineStr">
        <is>
          <t>Customer 58</t>
        </is>
      </c>
      <c r="D1727" t="inlineStr">
        <is>
          <t>North</t>
        </is>
      </c>
      <c r="E1727" t="inlineStr">
        <is>
          <t>Technology</t>
        </is>
      </c>
      <c r="F1727" t="inlineStr">
        <is>
          <t>Laptop</t>
        </is>
      </c>
      <c r="G1727" t="inlineStr">
        <is>
          <t>Second Class</t>
        </is>
      </c>
      <c r="H1727" t="n">
        <v>2</v>
      </c>
      <c r="I1727" s="11" t="n">
        <v>703.15</v>
      </c>
      <c r="J1727" s="12" t="n">
        <v>0.1</v>
      </c>
      <c r="K1727" s="11" t="n">
        <v>1265.67</v>
      </c>
      <c r="L1727" s="11" t="n">
        <v>416.81</v>
      </c>
      <c r="M1727" s="12" t="n">
        <v>0.3293</v>
      </c>
    </row>
    <row r="1728">
      <c r="A1728" t="inlineStr">
        <is>
          <t>ORD-10086</t>
        </is>
      </c>
      <c r="B1728" s="10" t="inlineStr">
        <is>
          <t>2025-09-14</t>
        </is>
      </c>
      <c r="C1728" t="inlineStr">
        <is>
          <t>Customer 88</t>
        </is>
      </c>
      <c r="D1728" t="inlineStr">
        <is>
          <t>South</t>
        </is>
      </c>
      <c r="E1728" t="inlineStr">
        <is>
          <t>Furniture</t>
        </is>
      </c>
      <c r="F1728" t="inlineStr">
        <is>
          <t>Chair</t>
        </is>
      </c>
      <c r="G1728" t="inlineStr">
        <is>
          <t>First Class</t>
        </is>
      </c>
      <c r="H1728" t="n">
        <v>5</v>
      </c>
      <c r="I1728" s="11" t="n">
        <v>420.9</v>
      </c>
      <c r="J1728" s="12" t="n">
        <v>0.15</v>
      </c>
      <c r="K1728" s="11" t="n">
        <v>1788.83</v>
      </c>
      <c r="L1728" s="11" t="n">
        <v>516.39</v>
      </c>
      <c r="M1728" s="12" t="n">
        <v>0.2887</v>
      </c>
    </row>
    <row r="1729">
      <c r="A1729" t="inlineStr">
        <is>
          <t>ORD-11579</t>
        </is>
      </c>
      <c r="B1729" s="10" t="inlineStr">
        <is>
          <t>2025-09-14</t>
        </is>
      </c>
      <c r="C1729" t="inlineStr">
        <is>
          <t>Customer 187</t>
        </is>
      </c>
      <c r="D1729" t="inlineStr">
        <is>
          <t>North</t>
        </is>
      </c>
      <c r="E1729" t="inlineStr">
        <is>
          <t>Technology</t>
        </is>
      </c>
      <c r="F1729" t="inlineStr">
        <is>
          <t>Laptop</t>
        </is>
      </c>
      <c r="G1729" t="inlineStr">
        <is>
          <t>Same Day</t>
        </is>
      </c>
      <c r="H1729" t="n">
        <v>8</v>
      </c>
      <c r="I1729" s="11" t="n">
        <v>852.78</v>
      </c>
      <c r="J1729" s="12" t="n">
        <v>0.15</v>
      </c>
      <c r="K1729" s="11" t="n">
        <v>5798.9</v>
      </c>
      <c r="L1729" s="11" t="n">
        <v>1096.65</v>
      </c>
      <c r="M1729" s="12" t="n">
        <v>0.1891</v>
      </c>
    </row>
    <row r="1730">
      <c r="A1730" t="inlineStr">
        <is>
          <t>ORD-11460</t>
        </is>
      </c>
      <c r="B1730" s="10" t="inlineStr">
        <is>
          <t>2025-09-15</t>
        </is>
      </c>
      <c r="C1730" t="inlineStr">
        <is>
          <t>Customer 189</t>
        </is>
      </c>
      <c r="D1730" t="inlineStr">
        <is>
          <t>North</t>
        </is>
      </c>
      <c r="E1730" t="inlineStr">
        <is>
          <t>Office Supplies</t>
        </is>
      </c>
      <c r="F1730" t="inlineStr">
        <is>
          <t>Pens (Box)</t>
        </is>
      </c>
      <c r="G1730" t="inlineStr">
        <is>
          <t>Standard Class</t>
        </is>
      </c>
      <c r="H1730" t="n">
        <v>4</v>
      </c>
      <c r="I1730" s="11" t="n">
        <v>394.69</v>
      </c>
      <c r="J1730" s="12" t="n">
        <v>0</v>
      </c>
      <c r="K1730" s="11" t="n">
        <v>1578.76</v>
      </c>
      <c r="L1730" s="11" t="n">
        <v>362.05</v>
      </c>
      <c r="M1730" s="12" t="n">
        <v>0.2293</v>
      </c>
    </row>
    <row r="1731">
      <c r="A1731" t="inlineStr">
        <is>
          <t>ORD-10994</t>
        </is>
      </c>
      <c r="B1731" s="10" t="inlineStr">
        <is>
          <t>2025-09-15</t>
        </is>
      </c>
      <c r="C1731" t="inlineStr">
        <is>
          <t>Customer 39</t>
        </is>
      </c>
      <c r="D1731" t="inlineStr">
        <is>
          <t>South</t>
        </is>
      </c>
      <c r="E1731" t="inlineStr">
        <is>
          <t>Furniture</t>
        </is>
      </c>
      <c r="F1731" t="inlineStr">
        <is>
          <t>Desk</t>
        </is>
      </c>
      <c r="G1731" t="inlineStr">
        <is>
          <t>Second Class</t>
        </is>
      </c>
      <c r="H1731" t="n">
        <v>5</v>
      </c>
      <c r="I1731" s="11" t="n">
        <v>177.78</v>
      </c>
      <c r="J1731" s="12" t="n">
        <v>0.15</v>
      </c>
      <c r="K1731" s="11" t="n">
        <v>755.5599999999999</v>
      </c>
      <c r="L1731" s="11" t="n">
        <v>239.64</v>
      </c>
      <c r="M1731" s="12" t="n">
        <v>0.3172</v>
      </c>
    </row>
    <row r="1732">
      <c r="A1732" t="inlineStr">
        <is>
          <t>ORD-10049</t>
        </is>
      </c>
      <c r="B1732" s="10" t="inlineStr">
        <is>
          <t>2025-09-15</t>
        </is>
      </c>
      <c r="C1732" t="inlineStr">
        <is>
          <t>Customer 7</t>
        </is>
      </c>
      <c r="D1732" t="inlineStr">
        <is>
          <t>North</t>
        </is>
      </c>
      <c r="E1732" t="inlineStr">
        <is>
          <t>Furniture</t>
        </is>
      </c>
      <c r="F1732" t="inlineStr">
        <is>
          <t>Bookcase</t>
        </is>
      </c>
      <c r="G1732" t="inlineStr">
        <is>
          <t>Same Day</t>
        </is>
      </c>
      <c r="H1732" t="n">
        <v>10</v>
      </c>
      <c r="I1732" s="11" t="n">
        <v>39.65</v>
      </c>
      <c r="J1732" s="12" t="n">
        <v>0</v>
      </c>
      <c r="K1732" s="11" t="n">
        <v>396.5</v>
      </c>
      <c r="L1732" s="11" t="n">
        <v>178.4</v>
      </c>
      <c r="M1732" s="12" t="n">
        <v>0.4499</v>
      </c>
    </row>
    <row r="1733">
      <c r="A1733" t="inlineStr">
        <is>
          <t>ORD-10862</t>
        </is>
      </c>
      <c r="B1733" s="10" t="inlineStr">
        <is>
          <t>2025-09-15</t>
        </is>
      </c>
      <c r="C1733" t="inlineStr">
        <is>
          <t>Customer 189</t>
        </is>
      </c>
      <c r="D1733" t="inlineStr">
        <is>
          <t>North</t>
        </is>
      </c>
      <c r="E1733" t="inlineStr">
        <is>
          <t>Technology</t>
        </is>
      </c>
      <c r="F1733" t="inlineStr">
        <is>
          <t>Wireless Mouse</t>
        </is>
      </c>
      <c r="G1733" t="inlineStr">
        <is>
          <t>Standard Class</t>
        </is>
      </c>
      <c r="H1733" t="n">
        <v>8</v>
      </c>
      <c r="I1733" s="11" t="n">
        <v>69.19</v>
      </c>
      <c r="J1733" s="12" t="n">
        <v>0.15</v>
      </c>
      <c r="K1733" s="11" t="n">
        <v>470.49</v>
      </c>
      <c r="L1733" s="11" t="n">
        <v>174.9</v>
      </c>
      <c r="M1733" s="12" t="n">
        <v>0.3717</v>
      </c>
    </row>
    <row r="1734">
      <c r="A1734" t="inlineStr">
        <is>
          <t>ORD-10980</t>
        </is>
      </c>
      <c r="B1734" s="10" t="inlineStr">
        <is>
          <t>2025-09-16</t>
        </is>
      </c>
      <c r="C1734" t="inlineStr">
        <is>
          <t>Customer 174</t>
        </is>
      </c>
      <c r="D1734" t="inlineStr">
        <is>
          <t>East</t>
        </is>
      </c>
      <c r="E1734" t="inlineStr">
        <is>
          <t>Furniture</t>
        </is>
      </c>
      <c r="F1734" t="inlineStr">
        <is>
          <t>Bookcase</t>
        </is>
      </c>
      <c r="G1734" t="inlineStr">
        <is>
          <t>Same Day</t>
        </is>
      </c>
      <c r="H1734" t="n">
        <v>5</v>
      </c>
      <c r="I1734" s="11" t="n">
        <v>303.18</v>
      </c>
      <c r="J1734" s="12" t="n">
        <v>0.1</v>
      </c>
      <c r="K1734" s="11" t="n">
        <v>1364.31</v>
      </c>
      <c r="L1734" s="11" t="n">
        <v>100.22</v>
      </c>
      <c r="M1734" s="12" t="n">
        <v>0.0735</v>
      </c>
    </row>
    <row r="1735">
      <c r="A1735" t="inlineStr">
        <is>
          <t>ORD-11615</t>
        </is>
      </c>
      <c r="B1735" s="10" t="inlineStr">
        <is>
          <t>2025-09-16</t>
        </is>
      </c>
      <c r="C1735" t="inlineStr">
        <is>
          <t>Customer 180</t>
        </is>
      </c>
      <c r="D1735" t="inlineStr">
        <is>
          <t>East</t>
        </is>
      </c>
      <c r="E1735" t="inlineStr">
        <is>
          <t>Office Supplies</t>
        </is>
      </c>
      <c r="F1735" t="inlineStr">
        <is>
          <t>Binder</t>
        </is>
      </c>
      <c r="G1735" t="inlineStr">
        <is>
          <t>Second Class</t>
        </is>
      </c>
      <c r="H1735" t="n">
        <v>7</v>
      </c>
      <c r="I1735" s="11" t="n">
        <v>516.91</v>
      </c>
      <c r="J1735" s="12" t="n">
        <v>0.15</v>
      </c>
      <c r="K1735" s="11" t="n">
        <v>3075.61</v>
      </c>
      <c r="L1735" s="11" t="n">
        <v>690.2</v>
      </c>
      <c r="M1735" s="12" t="n">
        <v>0.2244</v>
      </c>
    </row>
    <row r="1736">
      <c r="A1736" t="inlineStr">
        <is>
          <t>ORD-10767</t>
        </is>
      </c>
      <c r="B1736" s="10" t="inlineStr">
        <is>
          <t>2025-09-17</t>
        </is>
      </c>
      <c r="C1736" t="inlineStr">
        <is>
          <t>Customer 147</t>
        </is>
      </c>
      <c r="D1736" t="inlineStr">
        <is>
          <t>North</t>
        </is>
      </c>
      <c r="E1736" t="inlineStr">
        <is>
          <t>Office Supplies</t>
        </is>
      </c>
      <c r="F1736" t="inlineStr">
        <is>
          <t>Pens (Box)</t>
        </is>
      </c>
      <c r="G1736" t="inlineStr">
        <is>
          <t>Standard Class</t>
        </is>
      </c>
      <c r="H1736" t="n">
        <v>2</v>
      </c>
      <c r="I1736" s="11" t="n">
        <v>699.71</v>
      </c>
      <c r="J1736" s="12" t="n">
        <v>0</v>
      </c>
      <c r="K1736" s="11" t="n">
        <v>1399.42</v>
      </c>
      <c r="L1736" s="11" t="n">
        <v>674.45</v>
      </c>
      <c r="M1736" s="12" t="n">
        <v>0.4819</v>
      </c>
    </row>
    <row r="1737">
      <c r="A1737" t="inlineStr">
        <is>
          <t>ORD-10694</t>
        </is>
      </c>
      <c r="B1737" s="10" t="inlineStr">
        <is>
          <t>2025-09-17</t>
        </is>
      </c>
      <c r="C1737" t="inlineStr">
        <is>
          <t>Customer 101</t>
        </is>
      </c>
      <c r="D1737" t="inlineStr">
        <is>
          <t>West</t>
        </is>
      </c>
      <c r="E1737" t="inlineStr">
        <is>
          <t>Office Supplies</t>
        </is>
      </c>
      <c r="F1737" t="inlineStr">
        <is>
          <t>Binder</t>
        </is>
      </c>
      <c r="G1737" t="inlineStr">
        <is>
          <t>Same Day</t>
        </is>
      </c>
      <c r="H1737" t="n">
        <v>11</v>
      </c>
      <c r="I1737" s="11" t="n">
        <v>265.27</v>
      </c>
      <c r="J1737" s="12" t="n">
        <v>0</v>
      </c>
      <c r="K1737" s="11" t="n">
        <v>2917.97</v>
      </c>
      <c r="L1737" s="11" t="n">
        <v>465.01</v>
      </c>
      <c r="M1737" s="12" t="n">
        <v>0.1594</v>
      </c>
    </row>
    <row r="1738">
      <c r="A1738" t="inlineStr">
        <is>
          <t>ORD-11365</t>
        </is>
      </c>
      <c r="B1738" s="10" t="inlineStr">
        <is>
          <t>2025-09-17</t>
        </is>
      </c>
      <c r="C1738" t="inlineStr">
        <is>
          <t>Customer 39</t>
        </is>
      </c>
      <c r="D1738" t="inlineStr">
        <is>
          <t>South</t>
        </is>
      </c>
      <c r="E1738" t="inlineStr">
        <is>
          <t>Technology</t>
        </is>
      </c>
      <c r="F1738" t="inlineStr">
        <is>
          <t>Monitor</t>
        </is>
      </c>
      <c r="G1738" t="inlineStr">
        <is>
          <t>Same Day</t>
        </is>
      </c>
      <c r="H1738" t="n">
        <v>4</v>
      </c>
      <c r="I1738" s="11" t="n">
        <v>1095.95</v>
      </c>
      <c r="J1738" s="12" t="n">
        <v>0</v>
      </c>
      <c r="K1738" s="11" t="n">
        <v>4383.8</v>
      </c>
      <c r="L1738" s="11" t="n">
        <v>863.23</v>
      </c>
      <c r="M1738" s="12" t="n">
        <v>0.1969</v>
      </c>
    </row>
    <row r="1739">
      <c r="A1739" t="inlineStr">
        <is>
          <t>ORD-11790</t>
        </is>
      </c>
      <c r="B1739" s="10" t="inlineStr">
        <is>
          <t>2025-09-18</t>
        </is>
      </c>
      <c r="C1739" t="inlineStr">
        <is>
          <t>Customer 91</t>
        </is>
      </c>
      <c r="D1739" t="inlineStr">
        <is>
          <t>South</t>
        </is>
      </c>
      <c r="E1739" t="inlineStr">
        <is>
          <t>Furniture</t>
        </is>
      </c>
      <c r="F1739" t="inlineStr">
        <is>
          <t>Chair</t>
        </is>
      </c>
      <c r="G1739" t="inlineStr">
        <is>
          <t>Same Day</t>
        </is>
      </c>
      <c r="H1739" t="n">
        <v>6</v>
      </c>
      <c r="I1739" s="11" t="n">
        <v>455.71</v>
      </c>
      <c r="J1739" s="12" t="n">
        <v>0.3</v>
      </c>
      <c r="K1739" s="11" t="n">
        <v>1913.98</v>
      </c>
      <c r="L1739" s="11" t="n">
        <v>433.77</v>
      </c>
      <c r="M1739" s="12" t="n">
        <v>0.2266</v>
      </c>
    </row>
    <row r="1740">
      <c r="A1740" t="inlineStr">
        <is>
          <t>ORD-10655</t>
        </is>
      </c>
      <c r="B1740" s="10" t="inlineStr">
        <is>
          <t>2025-09-18</t>
        </is>
      </c>
      <c r="C1740" t="inlineStr">
        <is>
          <t>Customer 40</t>
        </is>
      </c>
      <c r="D1740" t="inlineStr">
        <is>
          <t>South</t>
        </is>
      </c>
      <c r="E1740" t="inlineStr">
        <is>
          <t>Furniture</t>
        </is>
      </c>
      <c r="F1740" t="inlineStr">
        <is>
          <t>Bookcase</t>
        </is>
      </c>
      <c r="G1740" t="inlineStr">
        <is>
          <t>Standard Class</t>
        </is>
      </c>
      <c r="H1740" t="n">
        <v>6</v>
      </c>
      <c r="I1740" s="11" t="n">
        <v>581.595</v>
      </c>
      <c r="J1740" s="12" t="n">
        <v>0</v>
      </c>
      <c r="K1740" s="11" t="n">
        <v>456.14</v>
      </c>
      <c r="L1740" s="11" t="n">
        <v>587.3</v>
      </c>
      <c r="M1740" s="12" t="n">
        <v>1.2875</v>
      </c>
    </row>
    <row r="1741">
      <c r="A1741" t="inlineStr">
        <is>
          <t>ORD-11569</t>
        </is>
      </c>
      <c r="B1741" s="10" t="inlineStr">
        <is>
          <t>2025-09-18</t>
        </is>
      </c>
      <c r="C1741" t="inlineStr">
        <is>
          <t>Customer 103</t>
        </is>
      </c>
      <c r="D1741" t="inlineStr">
        <is>
          <t>West</t>
        </is>
      </c>
      <c r="E1741" t="inlineStr">
        <is>
          <t>Office Supplies</t>
        </is>
      </c>
      <c r="F1741" t="inlineStr">
        <is>
          <t>Pens (Box)</t>
        </is>
      </c>
      <c r="G1741" t="inlineStr">
        <is>
          <t>Second Class</t>
        </is>
      </c>
      <c r="H1741" t="n">
        <v>4</v>
      </c>
      <c r="I1741" s="11" t="n">
        <v>78.17</v>
      </c>
      <c r="J1741" s="12" t="n">
        <v>0.1</v>
      </c>
      <c r="K1741" s="11" t="n">
        <v>281.41</v>
      </c>
      <c r="L1741" s="11" t="n">
        <v>44.14</v>
      </c>
      <c r="M1741" s="12" t="n">
        <v>0.1569</v>
      </c>
    </row>
    <row r="1742">
      <c r="A1742" t="inlineStr">
        <is>
          <t>ORD-10290</t>
        </is>
      </c>
      <c r="B1742" s="10" t="inlineStr">
        <is>
          <t>2025-09-19</t>
        </is>
      </c>
      <c r="C1742" t="inlineStr">
        <is>
          <t>Customer 111</t>
        </is>
      </c>
      <c r="D1742" t="inlineStr">
        <is>
          <t>South</t>
        </is>
      </c>
      <c r="E1742" t="inlineStr">
        <is>
          <t>Furniture</t>
        </is>
      </c>
      <c r="F1742" t="inlineStr">
        <is>
          <t>Chair</t>
        </is>
      </c>
      <c r="G1742" t="inlineStr">
        <is>
          <t>First Class</t>
        </is>
      </c>
      <c r="H1742" t="n">
        <v>11</v>
      </c>
      <c r="I1742" s="11" t="n">
        <v>456.95</v>
      </c>
      <c r="J1742" s="12" t="n">
        <v>0.15</v>
      </c>
      <c r="K1742" s="11" t="n">
        <v>4272.48</v>
      </c>
      <c r="L1742" s="11" t="n">
        <v>1334.04</v>
      </c>
      <c r="M1742" s="12" t="n">
        <v>0.3122</v>
      </c>
    </row>
    <row r="1743">
      <c r="A1743" t="inlineStr">
        <is>
          <t>ORD-10679</t>
        </is>
      </c>
      <c r="B1743" s="10" t="inlineStr">
        <is>
          <t>2025-09-19</t>
        </is>
      </c>
      <c r="C1743" t="inlineStr">
        <is>
          <t>Customer 188</t>
        </is>
      </c>
      <c r="D1743" t="inlineStr">
        <is>
          <t>South</t>
        </is>
      </c>
      <c r="E1743" t="inlineStr">
        <is>
          <t>Furniture</t>
        </is>
      </c>
      <c r="F1743" t="inlineStr">
        <is>
          <t>Desk</t>
        </is>
      </c>
      <c r="G1743" t="inlineStr">
        <is>
          <t>Same Day</t>
        </is>
      </c>
      <c r="H1743" t="n">
        <v>9</v>
      </c>
      <c r="I1743" s="11" t="n">
        <v>389.07</v>
      </c>
      <c r="J1743" s="12" t="n">
        <v>0</v>
      </c>
      <c r="K1743" s="11" t="n">
        <v>3501.63</v>
      </c>
      <c r="L1743" s="11" t="n">
        <v>1118.75</v>
      </c>
      <c r="M1743" s="12" t="n">
        <v>0.3195</v>
      </c>
    </row>
    <row r="1744">
      <c r="A1744" t="inlineStr">
        <is>
          <t>ORD-10407</t>
        </is>
      </c>
      <c r="B1744" s="10" t="inlineStr">
        <is>
          <t>2025-09-20</t>
        </is>
      </c>
      <c r="C1744" t="inlineStr">
        <is>
          <t>Customer 138</t>
        </is>
      </c>
      <c r="D1744" t="inlineStr">
        <is>
          <t>North</t>
        </is>
      </c>
      <c r="E1744" t="inlineStr">
        <is>
          <t>Technology</t>
        </is>
      </c>
      <c r="F1744" t="inlineStr">
        <is>
          <t>Wireless Mouse</t>
        </is>
      </c>
      <c r="G1744" t="inlineStr">
        <is>
          <t>Second Class</t>
        </is>
      </c>
      <c r="H1744" t="n">
        <v>2</v>
      </c>
      <c r="I1744" s="11" t="n">
        <v>1014.07</v>
      </c>
      <c r="J1744" s="12" t="n">
        <v>0</v>
      </c>
      <c r="K1744" s="11" t="n">
        <v>2028.14</v>
      </c>
      <c r="L1744" s="11" t="n">
        <v>471.17</v>
      </c>
      <c r="M1744" s="12" t="n">
        <v>0.2323</v>
      </c>
    </row>
    <row r="1745">
      <c r="A1745" t="inlineStr">
        <is>
          <t>ORD-11758</t>
        </is>
      </c>
      <c r="B1745" s="10" t="inlineStr">
        <is>
          <t>2025-09-20</t>
        </is>
      </c>
      <c r="C1745" t="inlineStr">
        <is>
          <t>Customer 67</t>
        </is>
      </c>
      <c r="D1745" t="inlineStr">
        <is>
          <t>West</t>
        </is>
      </c>
      <c r="E1745" t="inlineStr">
        <is>
          <t>Technology</t>
        </is>
      </c>
      <c r="F1745" t="inlineStr">
        <is>
          <t>Laptop</t>
        </is>
      </c>
      <c r="G1745" t="inlineStr">
        <is>
          <t>Standard Class</t>
        </is>
      </c>
      <c r="H1745" t="n">
        <v>11</v>
      </c>
      <c r="I1745" s="11" t="n">
        <v>23.75</v>
      </c>
      <c r="J1745" s="12" t="n">
        <v>0.15</v>
      </c>
      <c r="K1745" s="11" t="n">
        <v>222.06</v>
      </c>
      <c r="L1745" s="11" t="n">
        <v>19.03</v>
      </c>
      <c r="M1745" s="12" t="n">
        <v>0.0857</v>
      </c>
    </row>
    <row r="1746">
      <c r="A1746" t="inlineStr">
        <is>
          <t>ORD-10388</t>
        </is>
      </c>
      <c r="B1746" s="10" t="inlineStr">
        <is>
          <t>2025-09-20</t>
        </is>
      </c>
      <c r="C1746" t="inlineStr">
        <is>
          <t>Customer 94</t>
        </is>
      </c>
      <c r="D1746" t="inlineStr">
        <is>
          <t>South</t>
        </is>
      </c>
      <c r="E1746" t="inlineStr">
        <is>
          <t>Furniture</t>
        </is>
      </c>
      <c r="F1746" t="inlineStr">
        <is>
          <t>Chair</t>
        </is>
      </c>
      <c r="G1746" t="inlineStr">
        <is>
          <t>Same Day</t>
        </is>
      </c>
      <c r="H1746" t="n">
        <v>5</v>
      </c>
      <c r="I1746" s="11" t="n">
        <v>988.5700000000001</v>
      </c>
      <c r="J1746" s="12" t="n">
        <v>0.2</v>
      </c>
      <c r="K1746" s="11" t="n">
        <v>3954.28</v>
      </c>
      <c r="L1746" s="11" t="n">
        <v>-35.18</v>
      </c>
      <c r="M1746" s="12" t="n">
        <v>-0.0089</v>
      </c>
    </row>
    <row r="1747">
      <c r="A1747" t="inlineStr">
        <is>
          <t>ORD-10534</t>
        </is>
      </c>
      <c r="B1747" s="10" t="inlineStr">
        <is>
          <t>2025-09-20</t>
        </is>
      </c>
      <c r="C1747" t="inlineStr">
        <is>
          <t>Customer 62</t>
        </is>
      </c>
      <c r="D1747" t="inlineStr">
        <is>
          <t>East</t>
        </is>
      </c>
      <c r="E1747" t="inlineStr">
        <is>
          <t>Furniture</t>
        </is>
      </c>
      <c r="F1747" t="inlineStr">
        <is>
          <t>Table Lamp</t>
        </is>
      </c>
      <c r="G1747" t="inlineStr">
        <is>
          <t>Same Day</t>
        </is>
      </c>
      <c r="H1747" t="n">
        <v>9</v>
      </c>
      <c r="I1747" s="11" t="n">
        <v>582.0700000000001</v>
      </c>
      <c r="J1747" s="12" t="n">
        <v>0.15</v>
      </c>
      <c r="K1747" s="11" t="n">
        <v>4452.84</v>
      </c>
      <c r="L1747" s="11" t="n">
        <v>1271.05</v>
      </c>
      <c r="M1747" s="12" t="n">
        <v>0.2854</v>
      </c>
    </row>
    <row r="1748">
      <c r="A1748" t="inlineStr">
        <is>
          <t>ORD-10392</t>
        </is>
      </c>
      <c r="B1748" s="10" t="inlineStr">
        <is>
          <t>2025-09-21</t>
        </is>
      </c>
      <c r="C1748" t="inlineStr">
        <is>
          <t>Customer 21</t>
        </is>
      </c>
      <c r="D1748" t="inlineStr">
        <is>
          <t>East</t>
        </is>
      </c>
      <c r="E1748" t="inlineStr">
        <is>
          <t>Office Supplies</t>
        </is>
      </c>
      <c r="F1748" t="inlineStr">
        <is>
          <t>Stapler</t>
        </is>
      </c>
      <c r="G1748" t="inlineStr">
        <is>
          <t>Same Day</t>
        </is>
      </c>
      <c r="H1748" t="n">
        <v>4</v>
      </c>
      <c r="I1748" s="11" t="n">
        <v>352.81</v>
      </c>
      <c r="J1748" s="12" t="n">
        <v>0.15</v>
      </c>
      <c r="K1748" s="11" t="n">
        <v>1199.55</v>
      </c>
      <c r="L1748" s="11" t="n">
        <v>133.65</v>
      </c>
      <c r="M1748" s="12" t="n">
        <v>0.1114</v>
      </c>
    </row>
    <row r="1749">
      <c r="A1749" t="inlineStr">
        <is>
          <t>ORD-11337</t>
        </is>
      </c>
      <c r="B1749" s="10" t="inlineStr">
        <is>
          <t>2025-09-21</t>
        </is>
      </c>
      <c r="C1749" t="inlineStr">
        <is>
          <t>Customer 157</t>
        </is>
      </c>
      <c r="D1749" t="inlineStr">
        <is>
          <t>North</t>
        </is>
      </c>
      <c r="E1749" t="inlineStr">
        <is>
          <t>Office Supplies</t>
        </is>
      </c>
      <c r="F1749" t="inlineStr">
        <is>
          <t>Paper</t>
        </is>
      </c>
      <c r="G1749" t="inlineStr">
        <is>
          <t>Same Day</t>
        </is>
      </c>
      <c r="H1749" t="n">
        <v>3</v>
      </c>
      <c r="I1749" s="11" t="n">
        <v>741.1799999999999</v>
      </c>
      <c r="J1749" s="12" t="n">
        <v>0.1</v>
      </c>
      <c r="K1749" s="11" t="n">
        <v>2001.19</v>
      </c>
      <c r="L1749" s="11" t="n">
        <v>633.8200000000001</v>
      </c>
      <c r="M1749" s="12" t="n">
        <v>0.3167</v>
      </c>
    </row>
    <row r="1750">
      <c r="A1750" t="inlineStr">
        <is>
          <t>ORD-10107</t>
        </is>
      </c>
      <c r="B1750" s="10" t="inlineStr">
        <is>
          <t>2025-09-21</t>
        </is>
      </c>
      <c r="C1750" t="inlineStr">
        <is>
          <t>Customer 119</t>
        </is>
      </c>
      <c r="D1750" t="inlineStr">
        <is>
          <t>North</t>
        </is>
      </c>
      <c r="E1750" t="inlineStr">
        <is>
          <t>Technology</t>
        </is>
      </c>
      <c r="F1750" t="inlineStr">
        <is>
          <t>Monitor</t>
        </is>
      </c>
      <c r="G1750" t="inlineStr">
        <is>
          <t>First Class</t>
        </is>
      </c>
      <c r="H1750" t="n">
        <v>3</v>
      </c>
      <c r="I1750" s="11" t="n">
        <v>499.76</v>
      </c>
      <c r="J1750" s="12" t="n">
        <v>0</v>
      </c>
      <c r="K1750" s="11" t="n">
        <v>1499.28</v>
      </c>
      <c r="L1750" s="11" t="n">
        <v>708.65</v>
      </c>
      <c r="M1750" s="12" t="n">
        <v>0.4727</v>
      </c>
    </row>
    <row r="1751">
      <c r="A1751" t="inlineStr">
        <is>
          <t>ORD-11062</t>
        </is>
      </c>
      <c r="B1751" s="10" t="inlineStr">
        <is>
          <t>2025-09-22</t>
        </is>
      </c>
      <c r="C1751" t="inlineStr">
        <is>
          <t>Customer 183</t>
        </is>
      </c>
      <c r="D1751" t="inlineStr">
        <is>
          <t>South</t>
        </is>
      </c>
      <c r="E1751" t="inlineStr">
        <is>
          <t>Technology</t>
        </is>
      </c>
      <c r="F1751" t="inlineStr">
        <is>
          <t>Monitor</t>
        </is>
      </c>
      <c r="G1751" t="inlineStr">
        <is>
          <t>First Class</t>
        </is>
      </c>
      <c r="H1751" t="n">
        <v>10</v>
      </c>
      <c r="I1751" s="11" t="n">
        <v>891.75</v>
      </c>
      <c r="J1751" s="12" t="n">
        <v>0.1</v>
      </c>
      <c r="K1751" s="11" t="n">
        <v>8025.75</v>
      </c>
      <c r="L1751" s="11" t="n">
        <v>753.0700000000001</v>
      </c>
      <c r="M1751" s="12" t="n">
        <v>0.09379999999999999</v>
      </c>
    </row>
    <row r="1752">
      <c r="A1752" t="inlineStr">
        <is>
          <t>ORD-10859</t>
        </is>
      </c>
      <c r="B1752" s="10" t="inlineStr">
        <is>
          <t>2025-09-22</t>
        </is>
      </c>
      <c r="C1752" t="inlineStr">
        <is>
          <t>Customer 184</t>
        </is>
      </c>
      <c r="D1752" t="inlineStr">
        <is>
          <t>South</t>
        </is>
      </c>
      <c r="E1752" t="inlineStr">
        <is>
          <t>Technology</t>
        </is>
      </c>
      <c r="F1752" t="inlineStr">
        <is>
          <t>Monitor</t>
        </is>
      </c>
      <c r="G1752" t="inlineStr">
        <is>
          <t>Standard Class</t>
        </is>
      </c>
      <c r="H1752" t="n">
        <v>6</v>
      </c>
      <c r="I1752" s="11" t="n">
        <v>643.55</v>
      </c>
      <c r="J1752" s="12" t="n">
        <v>0</v>
      </c>
      <c r="K1752" s="11" t="n">
        <v>3421.16</v>
      </c>
      <c r="L1752" s="11" t="n">
        <v>646.9449999999999</v>
      </c>
      <c r="M1752" s="12" t="n">
        <v>0.1891</v>
      </c>
    </row>
    <row r="1753">
      <c r="A1753" t="inlineStr">
        <is>
          <t>ORD-11981</t>
        </is>
      </c>
      <c r="B1753" s="10" t="inlineStr">
        <is>
          <t>2025-09-23</t>
        </is>
      </c>
      <c r="C1753" t="inlineStr">
        <is>
          <t>Customer 185</t>
        </is>
      </c>
      <c r="D1753" t="inlineStr">
        <is>
          <t>South</t>
        </is>
      </c>
      <c r="E1753" t="inlineStr">
        <is>
          <t>Furniture</t>
        </is>
      </c>
      <c r="F1753" t="inlineStr">
        <is>
          <t>Desk</t>
        </is>
      </c>
      <c r="G1753" t="inlineStr">
        <is>
          <t>Same Day</t>
        </is>
      </c>
      <c r="H1753" t="n">
        <v>5</v>
      </c>
      <c r="I1753" s="11" t="n">
        <v>995.51</v>
      </c>
      <c r="J1753" s="12" t="n">
        <v>0.15</v>
      </c>
      <c r="K1753" s="11" t="n">
        <v>4230.92</v>
      </c>
      <c r="L1753" s="11" t="n">
        <v>1682.78</v>
      </c>
      <c r="M1753" s="12" t="n">
        <v>0.3977</v>
      </c>
    </row>
    <row r="1754">
      <c r="A1754" t="inlineStr">
        <is>
          <t>ORD-10958</t>
        </is>
      </c>
      <c r="B1754" s="10" t="inlineStr">
        <is>
          <t>2025-09-23</t>
        </is>
      </c>
      <c r="C1754" t="inlineStr">
        <is>
          <t>Customer 74</t>
        </is>
      </c>
      <c r="D1754" t="inlineStr">
        <is>
          <t>North</t>
        </is>
      </c>
      <c r="E1754" t="inlineStr">
        <is>
          <t>Furniture</t>
        </is>
      </c>
      <c r="F1754" t="inlineStr">
        <is>
          <t>Desk</t>
        </is>
      </c>
      <c r="G1754" t="inlineStr">
        <is>
          <t>Same Day</t>
        </is>
      </c>
      <c r="H1754" t="n">
        <v>9</v>
      </c>
      <c r="I1754" s="11" t="n">
        <v>136.33</v>
      </c>
      <c r="J1754" s="12" t="n">
        <v>0</v>
      </c>
      <c r="K1754" s="11" t="n">
        <v>1226.97</v>
      </c>
      <c r="L1754" s="11" t="n">
        <v>534.34</v>
      </c>
      <c r="M1754" s="12" t="n">
        <v>0.4355</v>
      </c>
    </row>
    <row r="1755">
      <c r="A1755" t="inlineStr">
        <is>
          <t>ORD-10182</t>
        </is>
      </c>
      <c r="B1755" s="10" t="inlineStr">
        <is>
          <t>2025-09-24</t>
        </is>
      </c>
      <c r="C1755" t="inlineStr">
        <is>
          <t>Customer 112</t>
        </is>
      </c>
      <c r="D1755" t="inlineStr">
        <is>
          <t>West</t>
        </is>
      </c>
      <c r="E1755" t="inlineStr">
        <is>
          <t>Office Supplies</t>
        </is>
      </c>
      <c r="F1755" t="inlineStr">
        <is>
          <t>Paper</t>
        </is>
      </c>
      <c r="G1755" t="inlineStr">
        <is>
          <t>Second Class</t>
        </is>
      </c>
      <c r="H1755" t="n">
        <v>9</v>
      </c>
      <c r="I1755" s="11" t="n">
        <v>709.25</v>
      </c>
      <c r="J1755" s="12" t="n">
        <v>0</v>
      </c>
      <c r="K1755" s="11" t="n">
        <v>6383.25</v>
      </c>
      <c r="L1755" s="11" t="n">
        <v>2278.6</v>
      </c>
      <c r="M1755" s="12" t="n">
        <v>0.357</v>
      </c>
    </row>
    <row r="1756">
      <c r="A1756" t="inlineStr">
        <is>
          <t>ORD-11266</t>
        </is>
      </c>
      <c r="B1756" s="10" t="inlineStr">
        <is>
          <t>2025-09-24</t>
        </is>
      </c>
      <c r="C1756" t="inlineStr">
        <is>
          <t>Customer 97</t>
        </is>
      </c>
      <c r="D1756" t="inlineStr">
        <is>
          <t>North</t>
        </is>
      </c>
      <c r="E1756" t="inlineStr">
        <is>
          <t>Office Supplies</t>
        </is>
      </c>
      <c r="F1756" t="inlineStr">
        <is>
          <t>Pens (Box)</t>
        </is>
      </c>
      <c r="G1756" t="inlineStr">
        <is>
          <t>Same Day</t>
        </is>
      </c>
      <c r="H1756" t="n">
        <v>6</v>
      </c>
      <c r="I1756" s="11" t="n">
        <v>260.95</v>
      </c>
      <c r="J1756" s="12" t="n">
        <v>0.1</v>
      </c>
      <c r="K1756" s="11" t="n">
        <v>1409.13</v>
      </c>
      <c r="L1756" s="11" t="n">
        <v>315.01</v>
      </c>
      <c r="M1756" s="12" t="n">
        <v>0.2235</v>
      </c>
    </row>
    <row r="1757">
      <c r="A1757" t="inlineStr">
        <is>
          <t>ORD-10474</t>
        </is>
      </c>
      <c r="B1757" s="10" t="inlineStr">
        <is>
          <t>2025-09-24</t>
        </is>
      </c>
      <c r="C1757" t="inlineStr">
        <is>
          <t>Customer 153</t>
        </is>
      </c>
      <c r="D1757" t="inlineStr">
        <is>
          <t>West</t>
        </is>
      </c>
      <c r="E1757" t="inlineStr">
        <is>
          <t>Technology</t>
        </is>
      </c>
      <c r="F1757" t="inlineStr">
        <is>
          <t>Laptop</t>
        </is>
      </c>
      <c r="G1757" t="inlineStr">
        <is>
          <t>Same Day</t>
        </is>
      </c>
      <c r="H1757" t="n">
        <v>2</v>
      </c>
      <c r="I1757" s="11" t="n">
        <v>440.79</v>
      </c>
      <c r="J1757" s="12" t="n">
        <v>0</v>
      </c>
      <c r="K1757" s="11" t="n">
        <v>881.58</v>
      </c>
      <c r="L1757" s="11" t="n">
        <v>284.28</v>
      </c>
      <c r="M1757" s="12" t="n">
        <v>0.3225</v>
      </c>
    </row>
    <row r="1758">
      <c r="A1758" t="inlineStr">
        <is>
          <t>ORD-10202</t>
        </is>
      </c>
      <c r="B1758" s="10" t="inlineStr">
        <is>
          <t>2025-09-25</t>
        </is>
      </c>
      <c r="C1758" t="inlineStr">
        <is>
          <t>Customer 29</t>
        </is>
      </c>
      <c r="D1758" t="inlineStr">
        <is>
          <t>East</t>
        </is>
      </c>
      <c r="E1758" t="inlineStr">
        <is>
          <t>Furniture</t>
        </is>
      </c>
      <c r="F1758" t="inlineStr">
        <is>
          <t>Chair</t>
        </is>
      </c>
      <c r="G1758" t="inlineStr">
        <is>
          <t>Same Day</t>
        </is>
      </c>
      <c r="H1758" t="n">
        <v>8</v>
      </c>
      <c r="I1758" s="11" t="n">
        <v>850.87</v>
      </c>
      <c r="J1758" s="12" t="n">
        <v>0.15</v>
      </c>
      <c r="K1758" s="11" t="n">
        <v>5785.92</v>
      </c>
      <c r="L1758" s="11" t="n">
        <v>57.43</v>
      </c>
      <c r="M1758" s="12" t="n">
        <v>0.009900000000000001</v>
      </c>
    </row>
    <row r="1759">
      <c r="A1759" t="inlineStr">
        <is>
          <t>ORD-10024</t>
        </is>
      </c>
      <c r="B1759" s="10" t="inlineStr">
        <is>
          <t>2025-09-25</t>
        </is>
      </c>
      <c r="C1759" t="inlineStr">
        <is>
          <t>Customer 156</t>
        </is>
      </c>
      <c r="D1759" t="inlineStr">
        <is>
          <t>East</t>
        </is>
      </c>
      <c r="E1759" t="inlineStr">
        <is>
          <t>Furniture</t>
        </is>
      </c>
      <c r="F1759" t="inlineStr">
        <is>
          <t>Bookcase</t>
        </is>
      </c>
      <c r="G1759" t="inlineStr">
        <is>
          <t>First Class</t>
        </is>
      </c>
      <c r="H1759" t="n">
        <v>11</v>
      </c>
      <c r="I1759" s="11" t="n">
        <v>547.41</v>
      </c>
      <c r="J1759" s="12" t="n">
        <v>0</v>
      </c>
      <c r="K1759" s="11" t="n">
        <v>6021.51</v>
      </c>
      <c r="L1759" s="11" t="n">
        <v>2511.98</v>
      </c>
      <c r="M1759" s="12" t="n">
        <v>0.4172</v>
      </c>
    </row>
    <row r="1760">
      <c r="A1760" t="inlineStr">
        <is>
          <t>ORD-11600</t>
        </is>
      </c>
      <c r="B1760" s="10" t="inlineStr">
        <is>
          <t>2025-09-26</t>
        </is>
      </c>
      <c r="C1760" t="inlineStr">
        <is>
          <t>Customer 156</t>
        </is>
      </c>
      <c r="D1760" t="inlineStr">
        <is>
          <t>East</t>
        </is>
      </c>
      <c r="E1760" t="inlineStr">
        <is>
          <t>Office Supplies</t>
        </is>
      </c>
      <c r="F1760" t="inlineStr">
        <is>
          <t>Pens (Box)</t>
        </is>
      </c>
      <c r="G1760" t="inlineStr">
        <is>
          <t>Same Day</t>
        </is>
      </c>
      <c r="H1760" t="n">
        <v>9</v>
      </c>
      <c r="I1760" s="11" t="n">
        <v>416.27</v>
      </c>
      <c r="J1760" s="12" t="n">
        <v>0.1</v>
      </c>
      <c r="K1760" s="11" t="n">
        <v>3371.79</v>
      </c>
      <c r="L1760" s="11" t="n">
        <v>632.5</v>
      </c>
      <c r="M1760" s="12" t="n">
        <v>0.1876</v>
      </c>
    </row>
    <row r="1761">
      <c r="A1761" t="inlineStr">
        <is>
          <t>ORD-10493</t>
        </is>
      </c>
      <c r="B1761" s="10" t="inlineStr">
        <is>
          <t>2025-09-27</t>
        </is>
      </c>
      <c r="C1761" t="inlineStr">
        <is>
          <t>Customer 117</t>
        </is>
      </c>
      <c r="D1761" t="inlineStr">
        <is>
          <t>North</t>
        </is>
      </c>
      <c r="E1761" t="inlineStr">
        <is>
          <t>Technology</t>
        </is>
      </c>
      <c r="F1761" t="inlineStr">
        <is>
          <t>Laptop</t>
        </is>
      </c>
      <c r="G1761" t="inlineStr">
        <is>
          <t>Standard Class</t>
        </is>
      </c>
      <c r="H1761" t="n">
        <v>1</v>
      </c>
      <c r="I1761" s="11" t="n">
        <v>1131.3</v>
      </c>
      <c r="J1761" s="12" t="n">
        <v>0</v>
      </c>
      <c r="K1761" s="11" t="n">
        <v>1131.3</v>
      </c>
      <c r="L1761" s="11" t="n">
        <v>464.31</v>
      </c>
      <c r="M1761" s="12" t="n">
        <v>0.4104</v>
      </c>
    </row>
    <row r="1762">
      <c r="A1762" t="inlineStr">
        <is>
          <t>ORD-10493</t>
        </is>
      </c>
      <c r="B1762" s="10" t="inlineStr">
        <is>
          <t>2025-09-27</t>
        </is>
      </c>
      <c r="C1762" t="inlineStr">
        <is>
          <t>Customer 117</t>
        </is>
      </c>
      <c r="D1762" t="inlineStr">
        <is>
          <t>North</t>
        </is>
      </c>
      <c r="E1762" t="inlineStr">
        <is>
          <t>Technology</t>
        </is>
      </c>
      <c r="F1762" t="inlineStr">
        <is>
          <t>Laptop</t>
        </is>
      </c>
      <c r="G1762" t="inlineStr">
        <is>
          <t>Standard Class</t>
        </is>
      </c>
      <c r="H1762" t="n">
        <v>1</v>
      </c>
      <c r="I1762" s="11" t="n">
        <v>1131.3</v>
      </c>
      <c r="J1762" s="12" t="n">
        <v>0</v>
      </c>
      <c r="K1762" s="11" t="n">
        <v>1131.3</v>
      </c>
      <c r="L1762" s="11" t="n">
        <v>464.31</v>
      </c>
      <c r="M1762" s="12" t="n">
        <v>0.4104</v>
      </c>
    </row>
    <row r="1763">
      <c r="A1763" t="inlineStr">
        <is>
          <t>ORD-11414</t>
        </is>
      </c>
      <c r="B1763" s="10" t="inlineStr">
        <is>
          <t>2025-09-28</t>
        </is>
      </c>
      <c r="C1763" t="inlineStr">
        <is>
          <t>Customer 116</t>
        </is>
      </c>
      <c r="D1763" t="inlineStr">
        <is>
          <t>East</t>
        </is>
      </c>
      <c r="E1763" t="inlineStr">
        <is>
          <t>Furniture</t>
        </is>
      </c>
      <c r="F1763" t="inlineStr">
        <is>
          <t>Chair</t>
        </is>
      </c>
      <c r="G1763" t="inlineStr">
        <is>
          <t>Second Class</t>
        </is>
      </c>
      <c r="H1763" t="n">
        <v>7</v>
      </c>
      <c r="I1763" s="11" t="n">
        <v>674.84</v>
      </c>
      <c r="J1763" s="12" t="n">
        <v>0</v>
      </c>
      <c r="K1763" s="11" t="n">
        <v>4723.88</v>
      </c>
      <c r="L1763" s="11" t="n">
        <v>2230.45</v>
      </c>
      <c r="M1763" s="12" t="n">
        <v>0.4722</v>
      </c>
    </row>
    <row r="1764">
      <c r="A1764" t="inlineStr">
        <is>
          <t>ORD-11667</t>
        </is>
      </c>
      <c r="B1764" s="10" t="inlineStr">
        <is>
          <t>2025-09-29</t>
        </is>
      </c>
      <c r="C1764" t="inlineStr">
        <is>
          <t>Customer 125</t>
        </is>
      </c>
      <c r="D1764" t="inlineStr">
        <is>
          <t>West</t>
        </is>
      </c>
      <c r="E1764" t="inlineStr">
        <is>
          <t>Technology</t>
        </is>
      </c>
      <c r="F1764" t="inlineStr">
        <is>
          <t>Laptop</t>
        </is>
      </c>
      <c r="G1764" t="inlineStr">
        <is>
          <t>Same Day</t>
        </is>
      </c>
      <c r="H1764" t="n">
        <v>3</v>
      </c>
      <c r="I1764" s="11" t="n">
        <v>947.61</v>
      </c>
      <c r="J1764" s="12" t="n">
        <v>0.1</v>
      </c>
      <c r="K1764" s="11" t="n">
        <v>2558.55</v>
      </c>
      <c r="L1764" s="11" t="n">
        <v>634.33</v>
      </c>
      <c r="M1764" s="12" t="n">
        <v>0.2479</v>
      </c>
    </row>
    <row r="1765">
      <c r="A1765" t="inlineStr">
        <is>
          <t>ORD-11119</t>
        </is>
      </c>
      <c r="B1765" s="10" t="inlineStr">
        <is>
          <t>2025-09-29</t>
        </is>
      </c>
      <c r="C1765" t="inlineStr">
        <is>
          <t>Customer 93</t>
        </is>
      </c>
      <c r="D1765" t="inlineStr">
        <is>
          <t>West</t>
        </is>
      </c>
      <c r="E1765" t="inlineStr">
        <is>
          <t>Office Supplies</t>
        </is>
      </c>
      <c r="F1765" t="inlineStr">
        <is>
          <t>Binder</t>
        </is>
      </c>
      <c r="G1765" t="inlineStr">
        <is>
          <t>Standard Class</t>
        </is>
      </c>
      <c r="H1765" t="n">
        <v>11</v>
      </c>
      <c r="I1765" s="11" t="n">
        <v>1110.91</v>
      </c>
      <c r="J1765" s="12" t="n">
        <v>0</v>
      </c>
      <c r="K1765" s="11" t="n">
        <v>12220.01</v>
      </c>
      <c r="L1765" s="11" t="n">
        <v>2515.86</v>
      </c>
      <c r="M1765" s="12" t="n">
        <v>0.2059</v>
      </c>
    </row>
    <row r="1766">
      <c r="A1766" t="inlineStr">
        <is>
          <t>ORD-11370</t>
        </is>
      </c>
      <c r="B1766" s="10" t="inlineStr">
        <is>
          <t>2025-09-29</t>
        </is>
      </c>
      <c r="C1766" t="inlineStr">
        <is>
          <t>Customer 130</t>
        </is>
      </c>
      <c r="D1766" t="inlineStr">
        <is>
          <t>East</t>
        </is>
      </c>
      <c r="E1766" t="inlineStr">
        <is>
          <t>Office Supplies</t>
        </is>
      </c>
      <c r="F1766" t="inlineStr">
        <is>
          <t>Stapler</t>
        </is>
      </c>
      <c r="G1766" t="inlineStr">
        <is>
          <t>Standard Class</t>
        </is>
      </c>
      <c r="H1766" t="n">
        <v>8</v>
      </c>
      <c r="I1766" s="11" t="n">
        <v>299.04</v>
      </c>
      <c r="J1766" s="12" t="n">
        <v>0</v>
      </c>
      <c r="K1766" s="11" t="n">
        <v>2392.32</v>
      </c>
      <c r="L1766" s="11" t="n">
        <v>1171.28</v>
      </c>
      <c r="M1766" s="12" t="n">
        <v>0.4896</v>
      </c>
    </row>
    <row r="1767">
      <c r="A1767" t="inlineStr">
        <is>
          <t>ORD-11630</t>
        </is>
      </c>
      <c r="B1767" s="10" t="inlineStr">
        <is>
          <t>2025-09-30</t>
        </is>
      </c>
      <c r="C1767" t="inlineStr">
        <is>
          <t>Customer 15</t>
        </is>
      </c>
      <c r="D1767" t="inlineStr">
        <is>
          <t>East</t>
        </is>
      </c>
      <c r="E1767" t="inlineStr">
        <is>
          <t>Furniture</t>
        </is>
      </c>
      <c r="F1767" t="inlineStr">
        <is>
          <t>Table Lamp</t>
        </is>
      </c>
      <c r="G1767" t="inlineStr">
        <is>
          <t>Same Day</t>
        </is>
      </c>
      <c r="H1767" t="n">
        <v>9</v>
      </c>
      <c r="I1767" s="11" t="n">
        <v>615.01</v>
      </c>
      <c r="J1767" s="12" t="n">
        <v>0</v>
      </c>
      <c r="K1767" s="11" t="n">
        <v>5535.09</v>
      </c>
      <c r="L1767" s="11" t="n">
        <v>2332.64</v>
      </c>
      <c r="M1767" s="12" t="n">
        <v>0.4214</v>
      </c>
    </row>
    <row r="1768">
      <c r="A1768" t="inlineStr">
        <is>
          <t>ORD-10150</t>
        </is>
      </c>
      <c r="B1768" s="10" t="inlineStr">
        <is>
          <t>2025-09-30</t>
        </is>
      </c>
      <c r="C1768" t="inlineStr">
        <is>
          <t>Customer 97</t>
        </is>
      </c>
      <c r="D1768" t="inlineStr">
        <is>
          <t>North</t>
        </is>
      </c>
      <c r="E1768" t="inlineStr">
        <is>
          <t>Technology</t>
        </is>
      </c>
      <c r="F1768" t="inlineStr">
        <is>
          <t>Monitor</t>
        </is>
      </c>
      <c r="G1768" t="inlineStr">
        <is>
          <t>Same Day</t>
        </is>
      </c>
      <c r="H1768" t="n">
        <v>8</v>
      </c>
      <c r="I1768" s="11" t="n">
        <v>734.22</v>
      </c>
      <c r="J1768" s="12" t="n">
        <v>0</v>
      </c>
      <c r="K1768" s="11" t="n">
        <v>5873.76</v>
      </c>
      <c r="L1768" s="11" t="n">
        <v>1012.76</v>
      </c>
      <c r="M1768" s="12" t="n">
        <v>0.1724</v>
      </c>
    </row>
    <row r="1769">
      <c r="A1769" t="inlineStr">
        <is>
          <t>ORD-11954</t>
        </is>
      </c>
      <c r="B1769" s="10" t="inlineStr">
        <is>
          <t>2025-09-30</t>
        </is>
      </c>
      <c r="C1769" t="inlineStr">
        <is>
          <t>Customer 86</t>
        </is>
      </c>
      <c r="D1769" t="inlineStr">
        <is>
          <t>East</t>
        </is>
      </c>
      <c r="E1769" t="inlineStr">
        <is>
          <t>Furniture</t>
        </is>
      </c>
      <c r="F1769" t="inlineStr">
        <is>
          <t>Bookcase</t>
        </is>
      </c>
      <c r="G1769" t="inlineStr">
        <is>
          <t>Same Day</t>
        </is>
      </c>
      <c r="H1769" t="n">
        <v>9</v>
      </c>
      <c r="I1769" s="11" t="n">
        <v>63.59</v>
      </c>
      <c r="J1769" s="12" t="n">
        <v>0</v>
      </c>
      <c r="K1769" s="11" t="n">
        <v>572.3099999999999</v>
      </c>
      <c r="L1769" s="11" t="n">
        <v>158.6</v>
      </c>
      <c r="M1769" s="12" t="n">
        <v>0.2771</v>
      </c>
    </row>
    <row r="1770">
      <c r="A1770" t="inlineStr">
        <is>
          <t>ORD-11844</t>
        </is>
      </c>
      <c r="B1770" s="10" t="inlineStr">
        <is>
          <t>2025-10-01</t>
        </is>
      </c>
      <c r="C1770" t="inlineStr">
        <is>
          <t>Customer 3</t>
        </is>
      </c>
      <c r="D1770" t="inlineStr">
        <is>
          <t>East</t>
        </is>
      </c>
      <c r="E1770" t="inlineStr">
        <is>
          <t>Technology</t>
        </is>
      </c>
      <c r="F1770" t="inlineStr">
        <is>
          <t>Wireless Mouse</t>
        </is>
      </c>
      <c r="G1770" t="inlineStr">
        <is>
          <t>Same Day</t>
        </is>
      </c>
      <c r="H1770" t="n">
        <v>3</v>
      </c>
      <c r="I1770" s="11" t="n">
        <v>391.69</v>
      </c>
      <c r="J1770" s="12" t="n">
        <v>0.1</v>
      </c>
      <c r="K1770" s="11" t="n">
        <v>1057.56</v>
      </c>
      <c r="L1770" s="11" t="n">
        <v>105.57</v>
      </c>
      <c r="M1770" s="12" t="n">
        <v>0.0998</v>
      </c>
    </row>
    <row r="1771">
      <c r="A1771" t="inlineStr">
        <is>
          <t>ORD-11519</t>
        </is>
      </c>
      <c r="B1771" s="10" t="inlineStr">
        <is>
          <t>2025-10-02</t>
        </is>
      </c>
      <c r="C1771" t="inlineStr">
        <is>
          <t>Customer 89</t>
        </is>
      </c>
      <c r="D1771" t="inlineStr">
        <is>
          <t>West</t>
        </is>
      </c>
      <c r="E1771" t="inlineStr">
        <is>
          <t>Technology</t>
        </is>
      </c>
      <c r="F1771" t="inlineStr">
        <is>
          <t>Wireless Mouse</t>
        </is>
      </c>
      <c r="G1771" t="inlineStr">
        <is>
          <t>First Class</t>
        </is>
      </c>
      <c r="H1771" t="n">
        <v>2</v>
      </c>
      <c r="I1771" s="11" t="n">
        <v>642.17</v>
      </c>
      <c r="J1771" s="12" t="n">
        <v>0.1</v>
      </c>
      <c r="K1771" s="11" t="n">
        <v>1155.91</v>
      </c>
      <c r="L1771" s="11" t="n">
        <v>471.46</v>
      </c>
      <c r="M1771" s="12" t="n">
        <v>0.4079</v>
      </c>
    </row>
    <row r="1772">
      <c r="A1772" t="inlineStr">
        <is>
          <t>ORD-10961</t>
        </is>
      </c>
      <c r="B1772" s="10" t="inlineStr">
        <is>
          <t>2025-10-02</t>
        </is>
      </c>
      <c r="C1772" t="inlineStr">
        <is>
          <t>Customer 16</t>
        </is>
      </c>
      <c r="D1772" t="inlineStr">
        <is>
          <t>West</t>
        </is>
      </c>
      <c r="E1772" t="inlineStr">
        <is>
          <t>Office Supplies</t>
        </is>
      </c>
      <c r="F1772" t="inlineStr">
        <is>
          <t>Pens (Box)</t>
        </is>
      </c>
      <c r="G1772" t="inlineStr">
        <is>
          <t>Same Day</t>
        </is>
      </c>
      <c r="H1772" t="n">
        <v>10</v>
      </c>
      <c r="I1772" s="11" t="n">
        <v>1057.56</v>
      </c>
      <c r="J1772" s="12" t="n">
        <v>0</v>
      </c>
      <c r="K1772" s="11" t="n">
        <v>10575.6</v>
      </c>
      <c r="L1772" s="11" t="n">
        <v>4236.34</v>
      </c>
      <c r="M1772" s="12" t="n">
        <v>0.4006</v>
      </c>
    </row>
    <row r="1773">
      <c r="A1773" t="inlineStr">
        <is>
          <t>ORD-11945</t>
        </is>
      </c>
      <c r="B1773" s="10" t="inlineStr">
        <is>
          <t>2025-10-02</t>
        </is>
      </c>
      <c r="C1773" t="inlineStr">
        <is>
          <t>Customer 123</t>
        </is>
      </c>
      <c r="D1773" t="inlineStr">
        <is>
          <t>East</t>
        </is>
      </c>
      <c r="E1773" t="inlineStr">
        <is>
          <t>Furniture</t>
        </is>
      </c>
      <c r="F1773" t="inlineStr">
        <is>
          <t>Chair</t>
        </is>
      </c>
      <c r="G1773" t="inlineStr">
        <is>
          <t>Standard Class</t>
        </is>
      </c>
      <c r="H1773" t="n">
        <v>11</v>
      </c>
      <c r="I1773" s="11" t="n">
        <v>415.71</v>
      </c>
      <c r="J1773" s="12" t="n">
        <v>0.1</v>
      </c>
      <c r="K1773" s="11" t="n">
        <v>4115.53</v>
      </c>
      <c r="L1773" s="11" t="n">
        <v>416.31</v>
      </c>
      <c r="M1773" s="12" t="n">
        <v>0.1012</v>
      </c>
    </row>
    <row r="1774">
      <c r="A1774" t="inlineStr">
        <is>
          <t>ORD-11678</t>
        </is>
      </c>
      <c r="B1774" s="10" t="inlineStr">
        <is>
          <t>2025-10-03</t>
        </is>
      </c>
      <c r="C1774" t="inlineStr">
        <is>
          <t>Customer 70</t>
        </is>
      </c>
      <c r="D1774" t="inlineStr">
        <is>
          <t>South</t>
        </is>
      </c>
      <c r="E1774" t="inlineStr">
        <is>
          <t>Technology</t>
        </is>
      </c>
      <c r="F1774" t="inlineStr">
        <is>
          <t>Laptop</t>
        </is>
      </c>
      <c r="G1774" t="inlineStr">
        <is>
          <t>Same Day</t>
        </is>
      </c>
      <c r="H1774" t="n">
        <v>8</v>
      </c>
      <c r="I1774" s="11" t="n">
        <v>1162.44</v>
      </c>
      <c r="J1774" s="12" t="n">
        <v>0.1</v>
      </c>
      <c r="K1774" s="11" t="n">
        <v>8369.57</v>
      </c>
      <c r="L1774" s="11" t="n">
        <v>3329.51</v>
      </c>
      <c r="M1774" s="12" t="n">
        <v>0.3978</v>
      </c>
    </row>
    <row r="1775">
      <c r="A1775" t="inlineStr">
        <is>
          <t>ORD-10758</t>
        </is>
      </c>
      <c r="B1775" s="10" t="inlineStr">
        <is>
          <t>2025-10-03</t>
        </is>
      </c>
      <c r="C1775" t="inlineStr">
        <is>
          <t>Customer 169</t>
        </is>
      </c>
      <c r="D1775" t="inlineStr">
        <is>
          <t>South</t>
        </is>
      </c>
      <c r="E1775" t="inlineStr">
        <is>
          <t>Technology</t>
        </is>
      </c>
      <c r="F1775" t="inlineStr">
        <is>
          <t>Wireless Mouse</t>
        </is>
      </c>
      <c r="G1775" t="inlineStr">
        <is>
          <t>Second Class</t>
        </is>
      </c>
      <c r="H1775" t="n">
        <v>6</v>
      </c>
      <c r="I1775" s="11" t="n">
        <v>757.27</v>
      </c>
      <c r="J1775" s="12" t="n">
        <v>0</v>
      </c>
      <c r="K1775" s="11" t="n">
        <v>4543.62</v>
      </c>
      <c r="L1775" s="11" t="n">
        <v>1303.02</v>
      </c>
      <c r="M1775" s="12" t="n">
        <v>0.2868</v>
      </c>
    </row>
    <row r="1776">
      <c r="A1776" t="inlineStr">
        <is>
          <t>ORD-11659</t>
        </is>
      </c>
      <c r="B1776" s="10" t="inlineStr">
        <is>
          <t>2025-10-03</t>
        </is>
      </c>
      <c r="C1776" t="inlineStr">
        <is>
          <t>Customer 199</t>
        </is>
      </c>
      <c r="D1776" t="inlineStr">
        <is>
          <t>South</t>
        </is>
      </c>
      <c r="E1776" t="inlineStr">
        <is>
          <t>Technology</t>
        </is>
      </c>
      <c r="F1776" t="inlineStr">
        <is>
          <t>Laptop</t>
        </is>
      </c>
      <c r="G1776" t="inlineStr">
        <is>
          <t>First Class</t>
        </is>
      </c>
      <c r="H1776" t="n">
        <v>4</v>
      </c>
      <c r="I1776" s="11" t="n">
        <v>936.47</v>
      </c>
      <c r="J1776" s="12" t="n">
        <v>0</v>
      </c>
      <c r="K1776" s="11" t="n">
        <v>3745.88</v>
      </c>
      <c r="L1776" s="11" t="n">
        <v>749.36</v>
      </c>
      <c r="M1776" s="12" t="n">
        <v>0.2</v>
      </c>
    </row>
    <row r="1777">
      <c r="A1777" t="inlineStr">
        <is>
          <t>ORD-10730</t>
        </is>
      </c>
      <c r="B1777" s="10" t="inlineStr">
        <is>
          <t>2025-10-03</t>
        </is>
      </c>
      <c r="C1777" t="inlineStr">
        <is>
          <t>Customer 137</t>
        </is>
      </c>
      <c r="D1777" t="inlineStr">
        <is>
          <t>East</t>
        </is>
      </c>
      <c r="E1777" t="inlineStr">
        <is>
          <t>Office Supplies</t>
        </is>
      </c>
      <c r="F1777" t="inlineStr">
        <is>
          <t>Paper</t>
        </is>
      </c>
      <c r="G1777" t="inlineStr">
        <is>
          <t>Second Class</t>
        </is>
      </c>
      <c r="H1777" t="n">
        <v>1</v>
      </c>
      <c r="I1777" s="11" t="n">
        <v>512.85</v>
      </c>
      <c r="J1777" s="12" t="n">
        <v>0</v>
      </c>
      <c r="K1777" s="11" t="n">
        <v>512.85</v>
      </c>
      <c r="L1777" s="11" t="n">
        <v>179.41</v>
      </c>
      <c r="M1777" s="12" t="n">
        <v>0.3498</v>
      </c>
    </row>
    <row r="1778">
      <c r="A1778" t="inlineStr">
        <is>
          <t>ORD-10359</t>
        </is>
      </c>
      <c r="B1778" s="10" t="inlineStr">
        <is>
          <t>2025-10-03</t>
        </is>
      </c>
      <c r="C1778" t="inlineStr">
        <is>
          <t>Customer 21</t>
        </is>
      </c>
      <c r="D1778" t="inlineStr">
        <is>
          <t>East</t>
        </is>
      </c>
      <c r="E1778" t="inlineStr">
        <is>
          <t>Office Supplies</t>
        </is>
      </c>
      <c r="F1778" t="inlineStr">
        <is>
          <t>Pens (Box)</t>
        </is>
      </c>
      <c r="G1778" t="inlineStr">
        <is>
          <t>Second Class</t>
        </is>
      </c>
      <c r="H1778" t="n">
        <v>7</v>
      </c>
      <c r="I1778" s="11" t="n">
        <v>910.03</v>
      </c>
      <c r="J1778" s="12" t="n">
        <v>0.15</v>
      </c>
      <c r="K1778" s="11" t="n">
        <v>5414.68</v>
      </c>
      <c r="L1778" s="11" t="n">
        <v>627.96</v>
      </c>
      <c r="M1778" s="12" t="n">
        <v>0.116</v>
      </c>
    </row>
    <row r="1779">
      <c r="A1779" t="inlineStr">
        <is>
          <t>ORD-11181</t>
        </is>
      </c>
      <c r="B1779" s="10" t="inlineStr">
        <is>
          <t>2025-10-03</t>
        </is>
      </c>
      <c r="C1779" t="inlineStr">
        <is>
          <t>Customer 26</t>
        </is>
      </c>
      <c r="D1779" t="inlineStr">
        <is>
          <t>East</t>
        </is>
      </c>
      <c r="E1779" t="inlineStr">
        <is>
          <t>Furniture</t>
        </is>
      </c>
      <c r="F1779" t="inlineStr">
        <is>
          <t>Chair</t>
        </is>
      </c>
      <c r="G1779" t="inlineStr">
        <is>
          <t>Second Class</t>
        </is>
      </c>
      <c r="H1779" t="n">
        <v>2</v>
      </c>
      <c r="I1779" s="11" t="n">
        <v>110.36</v>
      </c>
      <c r="J1779" s="12" t="n">
        <v>0.3</v>
      </c>
      <c r="K1779" s="11" t="n">
        <v>154.5</v>
      </c>
      <c r="L1779" s="11" t="n">
        <v>-8.699999999999999</v>
      </c>
      <c r="M1779" s="12" t="n">
        <v>-0.0563</v>
      </c>
    </row>
    <row r="1780">
      <c r="A1780" t="inlineStr">
        <is>
          <t>ORD-10840</t>
        </is>
      </c>
      <c r="B1780" s="10" t="inlineStr">
        <is>
          <t>2025-10-03</t>
        </is>
      </c>
      <c r="C1780" t="inlineStr">
        <is>
          <t>Customer 14</t>
        </is>
      </c>
      <c r="D1780" t="inlineStr">
        <is>
          <t>West</t>
        </is>
      </c>
      <c r="E1780" t="inlineStr">
        <is>
          <t>Furniture</t>
        </is>
      </c>
      <c r="F1780" t="inlineStr">
        <is>
          <t>Bookcase</t>
        </is>
      </c>
      <c r="G1780" t="inlineStr">
        <is>
          <t>Standard Class</t>
        </is>
      </c>
      <c r="H1780" t="n">
        <v>4</v>
      </c>
      <c r="I1780" s="11" t="n">
        <v>366.79</v>
      </c>
      <c r="J1780" s="12" t="n">
        <v>0</v>
      </c>
      <c r="K1780" s="11" t="n">
        <v>1467.16</v>
      </c>
      <c r="L1780" s="11" t="n">
        <v>389.34</v>
      </c>
      <c r="M1780" s="12" t="n">
        <v>0.2654</v>
      </c>
    </row>
    <row r="1781">
      <c r="A1781" t="inlineStr">
        <is>
          <t>ORD-10912</t>
        </is>
      </c>
      <c r="B1781" s="10" t="inlineStr">
        <is>
          <t>2025-10-03</t>
        </is>
      </c>
      <c r="C1781" t="inlineStr">
        <is>
          <t>Customer 99</t>
        </is>
      </c>
      <c r="D1781" t="inlineStr">
        <is>
          <t>East</t>
        </is>
      </c>
      <c r="E1781" t="inlineStr">
        <is>
          <t>Office Supplies</t>
        </is>
      </c>
      <c r="F1781" t="inlineStr">
        <is>
          <t>Paper</t>
        </is>
      </c>
      <c r="G1781" t="inlineStr">
        <is>
          <t>Standard Class</t>
        </is>
      </c>
      <c r="H1781" t="n">
        <v>8</v>
      </c>
      <c r="I1781" s="11" t="n">
        <v>1007.17</v>
      </c>
      <c r="J1781" s="12" t="n">
        <v>0.15</v>
      </c>
      <c r="K1781" s="11" t="n">
        <v>6848.76</v>
      </c>
      <c r="L1781" s="11" t="n">
        <v>2392.32</v>
      </c>
      <c r="M1781" s="12" t="n">
        <v>0.3493</v>
      </c>
    </row>
    <row r="1782">
      <c r="A1782" t="inlineStr">
        <is>
          <t>ORD-11878</t>
        </is>
      </c>
      <c r="B1782" s="10" t="inlineStr">
        <is>
          <t>2025-10-03</t>
        </is>
      </c>
      <c r="C1782" t="inlineStr">
        <is>
          <t>Customer 64</t>
        </is>
      </c>
      <c r="D1782" t="inlineStr">
        <is>
          <t>West</t>
        </is>
      </c>
      <c r="E1782" t="inlineStr">
        <is>
          <t>Technology</t>
        </is>
      </c>
      <c r="F1782" t="inlineStr">
        <is>
          <t>Monitor</t>
        </is>
      </c>
      <c r="G1782" t="inlineStr">
        <is>
          <t>Second Class</t>
        </is>
      </c>
      <c r="H1782" t="n">
        <v>11</v>
      </c>
      <c r="I1782" s="11" t="n">
        <v>541.22</v>
      </c>
      <c r="J1782" s="12" t="n">
        <v>0.1</v>
      </c>
      <c r="K1782" s="11" t="n">
        <v>5358.08</v>
      </c>
      <c r="L1782" s="11" t="n">
        <v>1596.86</v>
      </c>
      <c r="M1782" s="12" t="n">
        <v>0.298</v>
      </c>
    </row>
    <row r="1783">
      <c r="A1783" t="inlineStr">
        <is>
          <t>ORD-11618</t>
        </is>
      </c>
      <c r="B1783" s="10" t="inlineStr">
        <is>
          <t>2025-10-04</t>
        </is>
      </c>
      <c r="C1783" t="inlineStr">
        <is>
          <t>Customer 181</t>
        </is>
      </c>
      <c r="D1783" t="inlineStr">
        <is>
          <t>West</t>
        </is>
      </c>
      <c r="E1783" t="inlineStr">
        <is>
          <t>Office Supplies</t>
        </is>
      </c>
      <c r="F1783" t="inlineStr">
        <is>
          <t>Paper</t>
        </is>
      </c>
      <c r="G1783" t="inlineStr">
        <is>
          <t>Second Class</t>
        </is>
      </c>
      <c r="H1783" t="n">
        <v>3</v>
      </c>
      <c r="I1783" s="11" t="n">
        <v>174.59</v>
      </c>
      <c r="J1783" s="12" t="n">
        <v>0</v>
      </c>
      <c r="K1783" s="11" t="n">
        <v>523.77</v>
      </c>
      <c r="L1783" s="11" t="n">
        <v>192.54</v>
      </c>
      <c r="M1783" s="12" t="n">
        <v>0.3676</v>
      </c>
    </row>
    <row r="1784">
      <c r="A1784" t="inlineStr">
        <is>
          <t>ORD-10371</t>
        </is>
      </c>
      <c r="B1784" s="10" t="inlineStr">
        <is>
          <t>2025-10-04</t>
        </is>
      </c>
      <c r="C1784" t="inlineStr">
        <is>
          <t>Customer 88</t>
        </is>
      </c>
      <c r="D1784" t="inlineStr">
        <is>
          <t>South</t>
        </is>
      </c>
      <c r="E1784" t="inlineStr">
        <is>
          <t>Furniture</t>
        </is>
      </c>
      <c r="F1784" t="inlineStr">
        <is>
          <t>Bookcase</t>
        </is>
      </c>
      <c r="G1784" t="inlineStr">
        <is>
          <t>First Class</t>
        </is>
      </c>
      <c r="H1784" t="n">
        <v>11</v>
      </c>
      <c r="I1784" s="11" t="n">
        <v>1124.79</v>
      </c>
      <c r="J1784" s="12" t="n">
        <v>0</v>
      </c>
      <c r="K1784" s="11" t="n">
        <v>12372.69</v>
      </c>
      <c r="L1784" s="11" t="n">
        <v>3404.83</v>
      </c>
      <c r="M1784" s="12" t="n">
        <v>0.2752</v>
      </c>
    </row>
    <row r="1785">
      <c r="A1785" t="inlineStr">
        <is>
          <t>ORD-11130</t>
        </is>
      </c>
      <c r="B1785" s="10" t="inlineStr">
        <is>
          <t>2025-10-04</t>
        </is>
      </c>
      <c r="C1785" t="inlineStr">
        <is>
          <t>Customer 80</t>
        </is>
      </c>
      <c r="D1785" t="inlineStr">
        <is>
          <t>East</t>
        </is>
      </c>
      <c r="E1785" t="inlineStr">
        <is>
          <t>Technology</t>
        </is>
      </c>
      <c r="F1785" t="inlineStr">
        <is>
          <t>Wireless Mouse</t>
        </is>
      </c>
      <c r="G1785" t="inlineStr">
        <is>
          <t>Standard Class</t>
        </is>
      </c>
      <c r="H1785" t="n">
        <v>5</v>
      </c>
      <c r="I1785" s="11" t="n">
        <v>983.64</v>
      </c>
      <c r="J1785" s="12" t="n">
        <v>0.1</v>
      </c>
      <c r="K1785" s="11" t="n">
        <v>4426.38</v>
      </c>
      <c r="L1785" s="11" t="n">
        <v>1702.07</v>
      </c>
      <c r="M1785" s="12" t="n">
        <v>0.3845</v>
      </c>
    </row>
    <row r="1786">
      <c r="A1786" t="inlineStr">
        <is>
          <t>ORD-11964</t>
        </is>
      </c>
      <c r="B1786" s="10" t="inlineStr">
        <is>
          <t>2025-10-04</t>
        </is>
      </c>
      <c r="C1786" t="inlineStr">
        <is>
          <t>Customer 7</t>
        </is>
      </c>
      <c r="D1786" t="inlineStr">
        <is>
          <t>North</t>
        </is>
      </c>
      <c r="E1786" t="inlineStr">
        <is>
          <t>Furniture</t>
        </is>
      </c>
      <c r="F1786" t="inlineStr">
        <is>
          <t>Bookcase</t>
        </is>
      </c>
      <c r="G1786" t="inlineStr">
        <is>
          <t>Same Day</t>
        </is>
      </c>
      <c r="H1786" t="n">
        <v>10</v>
      </c>
      <c r="I1786" s="11" t="n">
        <v>293.11</v>
      </c>
      <c r="J1786" s="12" t="n">
        <v>0</v>
      </c>
      <c r="K1786" s="11" t="n">
        <v>2931.1</v>
      </c>
      <c r="L1786" s="11" t="n">
        <v>835.86</v>
      </c>
      <c r="M1786" s="12" t="n">
        <v>0.2852</v>
      </c>
    </row>
    <row r="1787">
      <c r="A1787" t="inlineStr">
        <is>
          <t>ORD-11293</t>
        </is>
      </c>
      <c r="B1787" s="10" t="inlineStr">
        <is>
          <t>2025-10-05</t>
        </is>
      </c>
      <c r="C1787" t="inlineStr">
        <is>
          <t>Customer 45</t>
        </is>
      </c>
      <c r="D1787" t="inlineStr">
        <is>
          <t>North</t>
        </is>
      </c>
      <c r="E1787" t="inlineStr">
        <is>
          <t>Technology</t>
        </is>
      </c>
      <c r="F1787" t="inlineStr">
        <is>
          <t>Monitor</t>
        </is>
      </c>
      <c r="G1787" t="inlineStr">
        <is>
          <t>Second Class</t>
        </is>
      </c>
      <c r="H1787" t="n">
        <v>1</v>
      </c>
      <c r="I1787" s="11" t="n">
        <v>26.85</v>
      </c>
      <c r="J1787" s="12" t="n">
        <v>0.1</v>
      </c>
      <c r="K1787" s="11" t="n">
        <v>24.17</v>
      </c>
      <c r="L1787" s="11" t="n">
        <v>9.220000000000001</v>
      </c>
      <c r="M1787" s="12" t="n">
        <v>0.3815</v>
      </c>
    </row>
    <row r="1788">
      <c r="A1788" t="inlineStr">
        <is>
          <t>ORD-11089</t>
        </is>
      </c>
      <c r="B1788" s="10" t="inlineStr">
        <is>
          <t>2025-10-05</t>
        </is>
      </c>
      <c r="C1788" t="inlineStr">
        <is>
          <t>Customer 117</t>
        </is>
      </c>
      <c r="D1788" t="inlineStr">
        <is>
          <t>North</t>
        </is>
      </c>
      <c r="E1788" t="inlineStr">
        <is>
          <t>Office Supplies</t>
        </is>
      </c>
      <c r="F1788" t="inlineStr">
        <is>
          <t>Paper</t>
        </is>
      </c>
      <c r="G1788" t="inlineStr">
        <is>
          <t>Same Day</t>
        </is>
      </c>
      <c r="H1788" t="n">
        <v>8</v>
      </c>
      <c r="I1788" s="11" t="n">
        <v>433.28</v>
      </c>
      <c r="J1788" s="12" t="n">
        <v>0</v>
      </c>
      <c r="K1788" s="11" t="n">
        <v>3466.24</v>
      </c>
      <c r="L1788" s="11" t="n">
        <v>1593.01</v>
      </c>
      <c r="M1788" s="12" t="n">
        <v>0.4596</v>
      </c>
    </row>
    <row r="1789">
      <c r="A1789" t="inlineStr">
        <is>
          <t>ORD-10883</t>
        </is>
      </c>
      <c r="B1789" s="10" t="inlineStr">
        <is>
          <t>2025-10-07</t>
        </is>
      </c>
      <c r="C1789" t="inlineStr">
        <is>
          <t>Customer 26</t>
        </is>
      </c>
      <c r="D1789" t="inlineStr">
        <is>
          <t>East</t>
        </is>
      </c>
      <c r="E1789" t="inlineStr">
        <is>
          <t>Technology</t>
        </is>
      </c>
      <c r="F1789" t="inlineStr">
        <is>
          <t>Printer</t>
        </is>
      </c>
      <c r="G1789" t="inlineStr">
        <is>
          <t>Standard Class</t>
        </is>
      </c>
      <c r="H1789" t="n">
        <v>7</v>
      </c>
      <c r="I1789" s="11" t="n">
        <v>120.19</v>
      </c>
      <c r="J1789" s="12" t="n">
        <v>0.15</v>
      </c>
      <c r="K1789" s="11" t="n">
        <v>715.13</v>
      </c>
      <c r="L1789" s="11" t="n">
        <v>143.52</v>
      </c>
      <c r="M1789" s="12" t="n">
        <v>0.2007</v>
      </c>
    </row>
    <row r="1790">
      <c r="A1790" t="inlineStr">
        <is>
          <t>ORD-11277</t>
        </is>
      </c>
      <c r="B1790" s="10" t="inlineStr">
        <is>
          <t>2025-10-07</t>
        </is>
      </c>
      <c r="C1790" t="inlineStr">
        <is>
          <t>Customer 71</t>
        </is>
      </c>
      <c r="D1790" t="inlineStr">
        <is>
          <t>West</t>
        </is>
      </c>
      <c r="E1790" t="inlineStr">
        <is>
          <t>Furniture</t>
        </is>
      </c>
      <c r="F1790" t="inlineStr">
        <is>
          <t>Chair</t>
        </is>
      </c>
      <c r="G1790" t="inlineStr">
        <is>
          <t>Second Class</t>
        </is>
      </c>
      <c r="H1790" t="n">
        <v>6</v>
      </c>
      <c r="I1790" s="11" t="n">
        <v>659.0599999999999</v>
      </c>
      <c r="J1790" s="12" t="n">
        <v>0.1</v>
      </c>
      <c r="K1790" s="11" t="n">
        <v>3558.92</v>
      </c>
      <c r="L1790" s="11" t="n">
        <v>221.73</v>
      </c>
      <c r="M1790" s="12" t="n">
        <v>0.0623</v>
      </c>
    </row>
    <row r="1791">
      <c r="A1791" t="inlineStr">
        <is>
          <t>ORD-11496</t>
        </is>
      </c>
      <c r="B1791" s="10" t="inlineStr">
        <is>
          <t>2025-10-07</t>
        </is>
      </c>
      <c r="C1791" t="inlineStr">
        <is>
          <t>Customer 153</t>
        </is>
      </c>
      <c r="D1791" t="inlineStr">
        <is>
          <t>West</t>
        </is>
      </c>
      <c r="E1791" t="inlineStr">
        <is>
          <t>Technology</t>
        </is>
      </c>
      <c r="F1791" t="inlineStr">
        <is>
          <t>Monitor</t>
        </is>
      </c>
      <c r="G1791" t="inlineStr">
        <is>
          <t>Second Class</t>
        </is>
      </c>
      <c r="H1791" t="n">
        <v>2</v>
      </c>
      <c r="I1791" s="11" t="n">
        <v>984.62</v>
      </c>
      <c r="J1791" s="12" t="n">
        <v>0.2</v>
      </c>
      <c r="K1791" s="11" t="n">
        <v>1575.39</v>
      </c>
      <c r="L1791" s="11" t="n">
        <v>222.87</v>
      </c>
      <c r="M1791" s="12" t="n">
        <v>0.1415</v>
      </c>
    </row>
    <row r="1792">
      <c r="A1792" t="inlineStr">
        <is>
          <t>ORD-10120</t>
        </is>
      </c>
      <c r="B1792" s="10" t="inlineStr">
        <is>
          <t>2025-10-09</t>
        </is>
      </c>
      <c r="C1792" t="inlineStr">
        <is>
          <t>Customer 96</t>
        </is>
      </c>
      <c r="D1792" t="inlineStr">
        <is>
          <t>South</t>
        </is>
      </c>
      <c r="E1792" t="inlineStr">
        <is>
          <t>Office Supplies</t>
        </is>
      </c>
      <c r="F1792" t="inlineStr">
        <is>
          <t>Stapler</t>
        </is>
      </c>
      <c r="G1792" t="inlineStr">
        <is>
          <t>First Class</t>
        </is>
      </c>
      <c r="H1792" t="n">
        <v>11</v>
      </c>
      <c r="I1792" s="11" t="n">
        <v>476.58</v>
      </c>
      <c r="J1792" s="12" t="n">
        <v>0</v>
      </c>
      <c r="K1792" s="11" t="n">
        <v>5242.38</v>
      </c>
      <c r="L1792" s="11" t="n">
        <v>1504.25</v>
      </c>
      <c r="M1792" s="12" t="n">
        <v>0.2869</v>
      </c>
    </row>
    <row r="1793">
      <c r="A1793" t="inlineStr">
        <is>
          <t>ORD-11292</t>
        </is>
      </c>
      <c r="B1793" s="10" t="inlineStr">
        <is>
          <t>2025-10-09</t>
        </is>
      </c>
      <c r="C1793" t="inlineStr">
        <is>
          <t>Customer 4</t>
        </is>
      </c>
      <c r="D1793" t="inlineStr">
        <is>
          <t>South</t>
        </is>
      </c>
      <c r="E1793" t="inlineStr">
        <is>
          <t>Office Supplies</t>
        </is>
      </c>
      <c r="F1793" t="inlineStr">
        <is>
          <t>Binder</t>
        </is>
      </c>
      <c r="G1793" t="inlineStr">
        <is>
          <t>Same Day</t>
        </is>
      </c>
      <c r="H1793" t="n">
        <v>1</v>
      </c>
      <c r="I1793" s="11" t="n">
        <v>728.11</v>
      </c>
      <c r="J1793" s="12" t="n">
        <v>0</v>
      </c>
      <c r="K1793" s="11" t="n">
        <v>728.11</v>
      </c>
      <c r="L1793" s="11" t="n">
        <v>323.4</v>
      </c>
      <c r="M1793" s="12" t="n">
        <v>0.4442</v>
      </c>
    </row>
    <row r="1794">
      <c r="A1794" t="inlineStr">
        <is>
          <t>ORD-11273</t>
        </is>
      </c>
      <c r="B1794" s="10" t="inlineStr">
        <is>
          <t>2025-10-09</t>
        </is>
      </c>
      <c r="C1794" t="inlineStr">
        <is>
          <t>Customer 141</t>
        </is>
      </c>
      <c r="D1794" t="inlineStr">
        <is>
          <t>West</t>
        </is>
      </c>
      <c r="E1794" t="inlineStr">
        <is>
          <t>Technology</t>
        </is>
      </c>
      <c r="F1794" t="inlineStr">
        <is>
          <t>Monitor</t>
        </is>
      </c>
      <c r="G1794" t="inlineStr">
        <is>
          <t>Second Class</t>
        </is>
      </c>
      <c r="H1794" t="n">
        <v>2</v>
      </c>
      <c r="I1794" s="11" t="n">
        <v>509.21</v>
      </c>
      <c r="J1794" s="12" t="n">
        <v>0</v>
      </c>
      <c r="K1794" s="11" t="n">
        <v>1018.42</v>
      </c>
      <c r="L1794" s="11" t="n">
        <v>435.8</v>
      </c>
      <c r="M1794" s="12" t="n">
        <v>0.4279</v>
      </c>
    </row>
    <row r="1795">
      <c r="A1795" t="inlineStr">
        <is>
          <t>ORD-10579</t>
        </is>
      </c>
      <c r="B1795" s="10" t="inlineStr">
        <is>
          <t>2025-10-09</t>
        </is>
      </c>
      <c r="C1795" t="inlineStr">
        <is>
          <t>Customer 165</t>
        </is>
      </c>
      <c r="D1795" t="inlineStr">
        <is>
          <t>South</t>
        </is>
      </c>
      <c r="E1795" t="inlineStr">
        <is>
          <t>Technology</t>
        </is>
      </c>
      <c r="F1795" t="inlineStr">
        <is>
          <t>Printer</t>
        </is>
      </c>
      <c r="G1795" t="inlineStr">
        <is>
          <t>Standard Class</t>
        </is>
      </c>
      <c r="H1795" t="n">
        <v>8</v>
      </c>
      <c r="I1795" s="11" t="n">
        <v>102.32</v>
      </c>
      <c r="J1795" s="12" t="n">
        <v>0</v>
      </c>
      <c r="K1795" s="11" t="n">
        <v>818.5599999999999</v>
      </c>
      <c r="L1795" s="11" t="n">
        <v>401.2</v>
      </c>
      <c r="M1795" s="12" t="n">
        <v>0.4901</v>
      </c>
    </row>
    <row r="1796">
      <c r="A1796" t="inlineStr">
        <is>
          <t>ORD-10533</t>
        </is>
      </c>
      <c r="B1796" s="10" t="inlineStr">
        <is>
          <t>2025-10-10</t>
        </is>
      </c>
      <c r="C1796" t="inlineStr">
        <is>
          <t>Customer 197</t>
        </is>
      </c>
      <c r="D1796" t="inlineStr">
        <is>
          <t>South</t>
        </is>
      </c>
      <c r="E1796" t="inlineStr">
        <is>
          <t>Technology</t>
        </is>
      </c>
      <c r="F1796" t="inlineStr">
        <is>
          <t>Monitor</t>
        </is>
      </c>
      <c r="G1796" t="inlineStr">
        <is>
          <t>Second Class</t>
        </is>
      </c>
      <c r="H1796" t="n">
        <v>6</v>
      </c>
      <c r="I1796" s="11" t="n">
        <v>854.73</v>
      </c>
      <c r="J1796" s="12" t="n">
        <v>0</v>
      </c>
      <c r="K1796" s="11" t="n">
        <v>5128.38</v>
      </c>
      <c r="L1796" s="11" t="n">
        <v>940.66</v>
      </c>
      <c r="M1796" s="12" t="n">
        <v>0.1834</v>
      </c>
    </row>
    <row r="1797">
      <c r="A1797" t="inlineStr">
        <is>
          <t>ORD-10530</t>
        </is>
      </c>
      <c r="B1797" s="10" t="inlineStr">
        <is>
          <t>2025-10-10</t>
        </is>
      </c>
      <c r="C1797" t="inlineStr">
        <is>
          <t>Customer 82</t>
        </is>
      </c>
      <c r="D1797" t="inlineStr">
        <is>
          <t>South</t>
        </is>
      </c>
      <c r="E1797" t="inlineStr">
        <is>
          <t>Furniture</t>
        </is>
      </c>
      <c r="F1797" t="inlineStr">
        <is>
          <t>Desk</t>
        </is>
      </c>
      <c r="G1797" t="inlineStr">
        <is>
          <t>Second Class</t>
        </is>
      </c>
      <c r="H1797" t="n">
        <v>4</v>
      </c>
      <c r="I1797" s="11" t="n">
        <v>655.2</v>
      </c>
      <c r="J1797" s="12" t="n">
        <v>0.15</v>
      </c>
      <c r="K1797" s="11" t="n">
        <v>2227.68</v>
      </c>
      <c r="L1797" s="11" t="n">
        <v>710.66</v>
      </c>
      <c r="M1797" s="12" t="n">
        <v>0.319</v>
      </c>
    </row>
    <row r="1798">
      <c r="A1798" t="inlineStr">
        <is>
          <t>ORD-10781</t>
        </is>
      </c>
      <c r="B1798" s="10" t="inlineStr">
        <is>
          <t>2025-10-12</t>
        </is>
      </c>
      <c r="C1798" t="inlineStr">
        <is>
          <t>Customer 117</t>
        </is>
      </c>
      <c r="D1798" t="inlineStr">
        <is>
          <t>North</t>
        </is>
      </c>
      <c r="E1798" t="inlineStr">
        <is>
          <t>Office Supplies</t>
        </is>
      </c>
      <c r="F1798" t="inlineStr">
        <is>
          <t>Pens (Box)</t>
        </is>
      </c>
      <c r="G1798" t="inlineStr">
        <is>
          <t>Standard Class</t>
        </is>
      </c>
      <c r="H1798" t="n">
        <v>7</v>
      </c>
      <c r="I1798" s="11" t="n">
        <v>1005.47</v>
      </c>
      <c r="J1798" s="12" t="n">
        <v>0</v>
      </c>
      <c r="K1798" s="11" t="n">
        <v>7038.29</v>
      </c>
      <c r="L1798" s="11" t="n">
        <v>3089.55</v>
      </c>
      <c r="M1798" s="12" t="n">
        <v>0.439</v>
      </c>
    </row>
    <row r="1799">
      <c r="A1799" t="inlineStr">
        <is>
          <t>ORD-11037</t>
        </is>
      </c>
      <c r="B1799" s="10" t="inlineStr">
        <is>
          <t>2025-10-12</t>
        </is>
      </c>
      <c r="C1799" t="inlineStr">
        <is>
          <t>Customer 190</t>
        </is>
      </c>
      <c r="D1799" t="inlineStr">
        <is>
          <t>South</t>
        </is>
      </c>
      <c r="E1799" t="inlineStr">
        <is>
          <t>Technology</t>
        </is>
      </c>
      <c r="F1799" t="inlineStr">
        <is>
          <t>Wireless Mouse</t>
        </is>
      </c>
      <c r="G1799" t="inlineStr">
        <is>
          <t>First Class</t>
        </is>
      </c>
      <c r="H1799" t="n">
        <v>2</v>
      </c>
      <c r="I1799" s="11" t="n">
        <v>71.81999999999999</v>
      </c>
      <c r="J1799" s="12" t="n">
        <v>0</v>
      </c>
      <c r="K1799" s="11" t="n">
        <v>143.64</v>
      </c>
      <c r="L1799" s="11" t="n">
        <v>22.38</v>
      </c>
      <c r="M1799" s="12" t="n">
        <v>0.1558</v>
      </c>
    </row>
    <row r="1800">
      <c r="A1800" t="inlineStr">
        <is>
          <t>ORD-10739</t>
        </is>
      </c>
      <c r="B1800" s="10" t="inlineStr">
        <is>
          <t>2025-10-12</t>
        </is>
      </c>
      <c r="C1800" t="inlineStr">
        <is>
          <t>Customer 96</t>
        </is>
      </c>
      <c r="D1800" t="inlineStr">
        <is>
          <t>South</t>
        </is>
      </c>
      <c r="E1800" t="inlineStr">
        <is>
          <t>Technology</t>
        </is>
      </c>
      <c r="F1800" t="inlineStr">
        <is>
          <t>Printer</t>
        </is>
      </c>
      <c r="G1800" t="inlineStr">
        <is>
          <t>Same Day</t>
        </is>
      </c>
      <c r="H1800" t="n">
        <v>10</v>
      </c>
      <c r="I1800" s="11" t="n">
        <v>951.91</v>
      </c>
      <c r="J1800" s="12" t="n">
        <v>0</v>
      </c>
      <c r="K1800" s="11" t="n">
        <v>9519.1</v>
      </c>
      <c r="L1800" s="11" t="n">
        <v>3798.38</v>
      </c>
      <c r="M1800" s="12" t="n">
        <v>0.399</v>
      </c>
    </row>
    <row r="1801">
      <c r="A1801" t="inlineStr">
        <is>
          <t>ORD-11597</t>
        </is>
      </c>
      <c r="B1801" s="10" t="inlineStr">
        <is>
          <t>2025-10-12</t>
        </is>
      </c>
      <c r="C1801" t="inlineStr">
        <is>
          <t>Customer 65</t>
        </is>
      </c>
      <c r="D1801" t="inlineStr">
        <is>
          <t>South</t>
        </is>
      </c>
      <c r="E1801" t="inlineStr">
        <is>
          <t>Technology</t>
        </is>
      </c>
      <c r="F1801" t="inlineStr">
        <is>
          <t>Wireless Mouse</t>
        </is>
      </c>
      <c r="G1801" t="inlineStr">
        <is>
          <t>Standard Class</t>
        </is>
      </c>
      <c r="H1801" t="n">
        <v>1</v>
      </c>
      <c r="I1801" s="11" t="n">
        <v>583.35</v>
      </c>
      <c r="J1801" s="12" t="n">
        <v>0</v>
      </c>
      <c r="K1801" s="11" t="n">
        <v>583.35</v>
      </c>
      <c r="L1801" s="11" t="n">
        <v>251.46</v>
      </c>
      <c r="M1801" s="12" t="n">
        <v>0.4311</v>
      </c>
    </row>
    <row r="1802">
      <c r="A1802" t="inlineStr">
        <is>
          <t>ORD-11568</t>
        </is>
      </c>
      <c r="B1802" s="10" t="inlineStr">
        <is>
          <t>2025-10-12</t>
        </is>
      </c>
      <c r="C1802" t="inlineStr">
        <is>
          <t>Customer 124</t>
        </is>
      </c>
      <c r="D1802" t="inlineStr">
        <is>
          <t>South</t>
        </is>
      </c>
      <c r="E1802" t="inlineStr">
        <is>
          <t>Furniture</t>
        </is>
      </c>
      <c r="F1802" t="inlineStr">
        <is>
          <t>Table Lamp</t>
        </is>
      </c>
      <c r="G1802" t="inlineStr">
        <is>
          <t>Same Day</t>
        </is>
      </c>
      <c r="H1802" t="n">
        <v>3</v>
      </c>
      <c r="I1802" s="11" t="n">
        <v>601.33</v>
      </c>
      <c r="J1802" s="12" t="n">
        <v>0</v>
      </c>
      <c r="K1802" s="11" t="n">
        <v>1803.99</v>
      </c>
      <c r="L1802" s="11" t="n">
        <v>709.28</v>
      </c>
      <c r="M1802" s="12" t="n">
        <v>0.3932</v>
      </c>
    </row>
    <row r="1803">
      <c r="A1803" t="inlineStr">
        <is>
          <t>ORD-11581</t>
        </is>
      </c>
      <c r="B1803" s="10" t="inlineStr">
        <is>
          <t>2025-10-12</t>
        </is>
      </c>
      <c r="C1803" t="inlineStr">
        <is>
          <t>Customer 112</t>
        </is>
      </c>
      <c r="D1803" t="inlineStr">
        <is>
          <t>West</t>
        </is>
      </c>
      <c r="E1803" t="inlineStr">
        <is>
          <t>Furniture</t>
        </is>
      </c>
      <c r="F1803" t="inlineStr">
        <is>
          <t>Table Lamp</t>
        </is>
      </c>
      <c r="G1803" t="inlineStr">
        <is>
          <t>First Class</t>
        </is>
      </c>
      <c r="H1803" t="n">
        <v>1</v>
      </c>
      <c r="I1803" s="11" t="n">
        <v>138.09</v>
      </c>
      <c r="J1803" s="12" t="n">
        <v>0</v>
      </c>
      <c r="K1803" s="11" t="n">
        <v>138.09</v>
      </c>
      <c r="L1803" s="11" t="n">
        <v>33.96</v>
      </c>
      <c r="M1803" s="12" t="n">
        <v>0.2459</v>
      </c>
    </row>
    <row r="1804">
      <c r="A1804" t="inlineStr">
        <is>
          <t>ORD-10384</t>
        </is>
      </c>
      <c r="B1804" s="10" t="inlineStr">
        <is>
          <t>2025-10-13</t>
        </is>
      </c>
      <c r="C1804" t="inlineStr">
        <is>
          <t>Customer 94</t>
        </is>
      </c>
      <c r="D1804" t="inlineStr">
        <is>
          <t>South</t>
        </is>
      </c>
      <c r="E1804" t="inlineStr">
        <is>
          <t>Office Supplies</t>
        </is>
      </c>
      <c r="F1804" t="inlineStr">
        <is>
          <t>Pens (Box)</t>
        </is>
      </c>
      <c r="G1804" t="inlineStr">
        <is>
          <t>Same Day</t>
        </is>
      </c>
      <c r="H1804" t="n">
        <v>8</v>
      </c>
      <c r="I1804" s="11" t="n">
        <v>784.8200000000001</v>
      </c>
      <c r="J1804" s="12" t="n">
        <v>0</v>
      </c>
      <c r="K1804" s="11" t="n">
        <v>6278.56</v>
      </c>
      <c r="L1804" s="11" t="n">
        <v>2490.16</v>
      </c>
      <c r="M1804" s="12" t="n">
        <v>0.3966</v>
      </c>
    </row>
    <row r="1805">
      <c r="A1805" t="inlineStr">
        <is>
          <t>ORD-11693</t>
        </is>
      </c>
      <c r="B1805" s="10" t="inlineStr">
        <is>
          <t>2025-10-14</t>
        </is>
      </c>
      <c r="C1805" t="inlineStr">
        <is>
          <t>Customer 32</t>
        </is>
      </c>
      <c r="D1805" t="inlineStr">
        <is>
          <t>North</t>
        </is>
      </c>
      <c r="E1805" t="inlineStr">
        <is>
          <t>Furniture</t>
        </is>
      </c>
      <c r="F1805" t="inlineStr">
        <is>
          <t>Table Lamp</t>
        </is>
      </c>
      <c r="G1805" t="inlineStr">
        <is>
          <t>Same Day</t>
        </is>
      </c>
      <c r="H1805" t="n">
        <v>5</v>
      </c>
      <c r="I1805" s="11" t="n">
        <v>1031.61</v>
      </c>
      <c r="J1805" s="12" t="n">
        <v>0</v>
      </c>
      <c r="K1805" s="11" t="n">
        <v>5158.05</v>
      </c>
      <c r="L1805" s="11" t="n">
        <v>1374.61</v>
      </c>
      <c r="M1805" s="12" t="n">
        <v>0.2665</v>
      </c>
    </row>
    <row r="1806">
      <c r="A1806" t="inlineStr">
        <is>
          <t>ORD-11636</t>
        </is>
      </c>
      <c r="B1806" s="10" t="inlineStr">
        <is>
          <t>2025-10-16</t>
        </is>
      </c>
      <c r="C1806" t="inlineStr">
        <is>
          <t>Customer 80</t>
        </is>
      </c>
      <c r="D1806" t="inlineStr">
        <is>
          <t>East</t>
        </is>
      </c>
      <c r="E1806" t="inlineStr">
        <is>
          <t>Furniture</t>
        </is>
      </c>
      <c r="F1806" t="inlineStr">
        <is>
          <t>Table Lamp</t>
        </is>
      </c>
      <c r="G1806" t="inlineStr">
        <is>
          <t>Same Day</t>
        </is>
      </c>
      <c r="H1806" t="n">
        <v>2</v>
      </c>
      <c r="I1806" s="11" t="n">
        <v>625.5700000000001</v>
      </c>
      <c r="J1806" s="12" t="n">
        <v>0</v>
      </c>
      <c r="K1806" s="11" t="n">
        <v>1251.14</v>
      </c>
      <c r="L1806" s="11" t="n">
        <v>314.93</v>
      </c>
      <c r="M1806" s="12" t="n">
        <v>0.2517</v>
      </c>
    </row>
    <row r="1807">
      <c r="A1807" t="inlineStr">
        <is>
          <t>ORD-11676</t>
        </is>
      </c>
      <c r="B1807" s="10" t="inlineStr">
        <is>
          <t>2025-10-16</t>
        </is>
      </c>
      <c r="C1807" t="inlineStr">
        <is>
          <t>Customer 137</t>
        </is>
      </c>
      <c r="D1807" t="inlineStr">
        <is>
          <t>East</t>
        </is>
      </c>
      <c r="E1807" t="inlineStr">
        <is>
          <t>Furniture</t>
        </is>
      </c>
      <c r="F1807" t="inlineStr">
        <is>
          <t>Desk</t>
        </is>
      </c>
      <c r="G1807" t="inlineStr">
        <is>
          <t>Standard Class</t>
        </is>
      </c>
      <c r="H1807" t="n">
        <v>5</v>
      </c>
      <c r="I1807" s="11" t="n">
        <v>732.98</v>
      </c>
      <c r="J1807" s="12" t="n">
        <v>0.1</v>
      </c>
      <c r="K1807" s="11" t="n">
        <v>3298.41</v>
      </c>
      <c r="L1807" s="11" t="n">
        <v>746.46</v>
      </c>
      <c r="M1807" s="12" t="n">
        <v>0.2263</v>
      </c>
    </row>
    <row r="1808">
      <c r="A1808" t="inlineStr">
        <is>
          <t>ORD-11156</t>
        </is>
      </c>
      <c r="B1808" s="10" t="inlineStr">
        <is>
          <t>2025-10-16</t>
        </is>
      </c>
      <c r="C1808" t="inlineStr">
        <is>
          <t>Customer 78</t>
        </is>
      </c>
      <c r="D1808" t="inlineStr">
        <is>
          <t>North</t>
        </is>
      </c>
      <c r="E1808" t="inlineStr">
        <is>
          <t>Technology</t>
        </is>
      </c>
      <c r="F1808" t="inlineStr">
        <is>
          <t>Monitor</t>
        </is>
      </c>
      <c r="G1808" t="inlineStr">
        <is>
          <t>Second Class</t>
        </is>
      </c>
      <c r="H1808" t="n">
        <v>9</v>
      </c>
      <c r="I1808" s="11" t="n">
        <v>923.1799999999999</v>
      </c>
      <c r="J1808" s="12" t="n">
        <v>0.1</v>
      </c>
      <c r="K1808" s="11" t="n">
        <v>7477.76</v>
      </c>
      <c r="L1808" s="11" t="n">
        <v>1381.12</v>
      </c>
      <c r="M1808" s="12" t="n">
        <v>0.1847</v>
      </c>
    </row>
    <row r="1809">
      <c r="A1809" t="inlineStr">
        <is>
          <t>ORD-11118</t>
        </is>
      </c>
      <c r="B1809" s="10" t="inlineStr">
        <is>
          <t>2025-10-16</t>
        </is>
      </c>
      <c r="C1809" t="inlineStr">
        <is>
          <t>Customer 15</t>
        </is>
      </c>
      <c r="D1809" t="inlineStr">
        <is>
          <t>East</t>
        </is>
      </c>
      <c r="E1809" t="inlineStr">
        <is>
          <t>Office Supplies</t>
        </is>
      </c>
      <c r="F1809" t="inlineStr">
        <is>
          <t>Pens (Box)</t>
        </is>
      </c>
      <c r="G1809" t="inlineStr">
        <is>
          <t>Standard Class</t>
        </is>
      </c>
      <c r="H1809" t="n">
        <v>8</v>
      </c>
      <c r="I1809" s="11" t="n">
        <v>988.9299999999999</v>
      </c>
      <c r="J1809" s="12" t="n">
        <v>0</v>
      </c>
      <c r="K1809" s="11" t="n">
        <v>7911.44</v>
      </c>
      <c r="L1809" s="11" t="n">
        <v>3702.44</v>
      </c>
      <c r="M1809" s="12" t="n">
        <v>0.468</v>
      </c>
    </row>
    <row r="1810">
      <c r="A1810" t="inlineStr">
        <is>
          <t>ORD-10643</t>
        </is>
      </c>
      <c r="B1810" s="10" t="inlineStr">
        <is>
          <t>2025-10-16</t>
        </is>
      </c>
      <c r="C1810" t="inlineStr">
        <is>
          <t>Customer 104</t>
        </is>
      </c>
      <c r="D1810" t="inlineStr">
        <is>
          <t>North</t>
        </is>
      </c>
      <c r="E1810" t="inlineStr">
        <is>
          <t>Office Supplies</t>
        </is>
      </c>
      <c r="F1810" t="inlineStr">
        <is>
          <t>Paper</t>
        </is>
      </c>
      <c r="G1810" t="inlineStr">
        <is>
          <t>First Class</t>
        </is>
      </c>
      <c r="H1810" t="n">
        <v>3</v>
      </c>
      <c r="I1810" s="11" t="n">
        <v>55.27</v>
      </c>
      <c r="J1810" s="12" t="n">
        <v>0</v>
      </c>
      <c r="K1810" s="11" t="n">
        <v>165.81</v>
      </c>
      <c r="L1810" s="11" t="n">
        <v>33.19</v>
      </c>
      <c r="M1810" s="12" t="n">
        <v>0.2002</v>
      </c>
    </row>
    <row r="1811">
      <c r="A1811" t="inlineStr">
        <is>
          <t>ORD-11080</t>
        </is>
      </c>
      <c r="B1811" s="10" t="inlineStr">
        <is>
          <t>2025-10-16</t>
        </is>
      </c>
      <c r="C1811" t="inlineStr">
        <is>
          <t>Customer 2</t>
        </is>
      </c>
      <c r="D1811" t="inlineStr">
        <is>
          <t>West</t>
        </is>
      </c>
      <c r="E1811" t="inlineStr">
        <is>
          <t>Office Supplies</t>
        </is>
      </c>
      <c r="F1811" t="inlineStr">
        <is>
          <t>Pens (Box)</t>
        </is>
      </c>
      <c r="G1811" t="inlineStr">
        <is>
          <t>First Class</t>
        </is>
      </c>
      <c r="H1811" t="n">
        <v>7</v>
      </c>
      <c r="I1811" s="11" t="n">
        <v>462.34</v>
      </c>
      <c r="J1811" s="12" t="n">
        <v>0.1</v>
      </c>
      <c r="K1811" s="11" t="n">
        <v>2912.74</v>
      </c>
      <c r="L1811" s="11" t="n">
        <v>1034.15</v>
      </c>
      <c r="M1811" s="12" t="n">
        <v>0.355</v>
      </c>
    </row>
    <row r="1812">
      <c r="A1812" t="inlineStr">
        <is>
          <t>ORD-11616</t>
        </is>
      </c>
      <c r="B1812" s="10" t="inlineStr">
        <is>
          <t>2025-10-17</t>
        </is>
      </c>
      <c r="C1812" t="inlineStr">
        <is>
          <t>Customer 44</t>
        </is>
      </c>
      <c r="D1812" t="inlineStr">
        <is>
          <t>South</t>
        </is>
      </c>
      <c r="E1812" t="inlineStr">
        <is>
          <t>Furniture</t>
        </is>
      </c>
      <c r="F1812" t="inlineStr">
        <is>
          <t>Chair</t>
        </is>
      </c>
      <c r="G1812" t="inlineStr">
        <is>
          <t>Same Day</t>
        </is>
      </c>
      <c r="H1812" t="n">
        <v>3</v>
      </c>
      <c r="I1812" s="11" t="n">
        <v>878.5</v>
      </c>
      <c r="J1812" s="12" t="n">
        <v>0.1</v>
      </c>
      <c r="K1812" s="11" t="n">
        <v>2371.95</v>
      </c>
      <c r="L1812" s="11" t="n">
        <v>247.55</v>
      </c>
      <c r="M1812" s="12" t="n">
        <v>0.1044</v>
      </c>
    </row>
    <row r="1813">
      <c r="A1813" t="inlineStr">
        <is>
          <t>ORD-10996</t>
        </is>
      </c>
      <c r="B1813" s="10" t="inlineStr">
        <is>
          <t>2025-10-17</t>
        </is>
      </c>
      <c r="C1813" t="inlineStr">
        <is>
          <t>Customer 94</t>
        </is>
      </c>
      <c r="D1813" t="inlineStr">
        <is>
          <t>South</t>
        </is>
      </c>
      <c r="E1813" t="inlineStr">
        <is>
          <t>Technology</t>
        </is>
      </c>
      <c r="F1813" t="inlineStr">
        <is>
          <t>Printer</t>
        </is>
      </c>
      <c r="G1813" t="inlineStr">
        <is>
          <t>First Class</t>
        </is>
      </c>
      <c r="H1813" t="n">
        <v>9</v>
      </c>
      <c r="I1813" s="11" t="n">
        <v>840.6799999999999</v>
      </c>
      <c r="J1813" s="12" t="n">
        <v>0</v>
      </c>
      <c r="K1813" s="11" t="n">
        <v>7566.12</v>
      </c>
      <c r="L1813" s="11" t="n">
        <v>2074.52</v>
      </c>
      <c r="M1813" s="12" t="n">
        <v>0.2742</v>
      </c>
    </row>
    <row r="1814">
      <c r="A1814" t="inlineStr">
        <is>
          <t>ORD-11357</t>
        </is>
      </c>
      <c r="B1814" s="10" t="inlineStr">
        <is>
          <t>2025-10-19</t>
        </is>
      </c>
      <c r="C1814" t="inlineStr">
        <is>
          <t>Customer 121</t>
        </is>
      </c>
      <c r="D1814" t="inlineStr">
        <is>
          <t>South</t>
        </is>
      </c>
      <c r="E1814" t="inlineStr">
        <is>
          <t>Technology</t>
        </is>
      </c>
      <c r="F1814" t="inlineStr">
        <is>
          <t>Wireless Mouse</t>
        </is>
      </c>
      <c r="G1814" t="inlineStr">
        <is>
          <t>Second Class</t>
        </is>
      </c>
      <c r="H1814" t="n">
        <v>3</v>
      </c>
      <c r="I1814" s="11" t="n">
        <v>644.74</v>
      </c>
      <c r="J1814" s="12" t="n">
        <v>0</v>
      </c>
      <c r="K1814" s="11" t="n">
        <v>1934.22</v>
      </c>
      <c r="L1814" s="11" t="n">
        <v>379.81</v>
      </c>
      <c r="M1814" s="12" t="n">
        <v>0.1964</v>
      </c>
    </row>
    <row r="1815">
      <c r="A1815" t="inlineStr">
        <is>
          <t>ORD-10769</t>
        </is>
      </c>
      <c r="B1815" s="10" t="inlineStr">
        <is>
          <t>2025-10-19</t>
        </is>
      </c>
      <c r="C1815" t="inlineStr">
        <is>
          <t>Customer 64</t>
        </is>
      </c>
      <c r="D1815" t="inlineStr">
        <is>
          <t>West</t>
        </is>
      </c>
      <c r="E1815" t="inlineStr">
        <is>
          <t>Technology</t>
        </is>
      </c>
      <c r="F1815" t="inlineStr">
        <is>
          <t>Monitor</t>
        </is>
      </c>
      <c r="G1815" t="inlineStr">
        <is>
          <t>First Class</t>
        </is>
      </c>
      <c r="H1815" t="n">
        <v>5</v>
      </c>
      <c r="I1815" s="11" t="n">
        <v>1193.81</v>
      </c>
      <c r="J1815" s="12" t="n">
        <v>0</v>
      </c>
      <c r="K1815" s="11" t="n">
        <v>5969.05</v>
      </c>
      <c r="L1815" s="11" t="n">
        <v>1544.29</v>
      </c>
      <c r="M1815" s="12" t="n">
        <v>0.2587</v>
      </c>
    </row>
    <row r="1816">
      <c r="A1816" t="inlineStr">
        <is>
          <t>ORD-10461</t>
        </is>
      </c>
      <c r="B1816" s="10" t="inlineStr">
        <is>
          <t>2025-10-20</t>
        </is>
      </c>
      <c r="C1816" t="inlineStr">
        <is>
          <t>Customer 134</t>
        </is>
      </c>
      <c r="D1816" t="inlineStr">
        <is>
          <t>East</t>
        </is>
      </c>
      <c r="E1816" t="inlineStr">
        <is>
          <t>Office Supplies</t>
        </is>
      </c>
      <c r="F1816" t="inlineStr">
        <is>
          <t>Paper</t>
        </is>
      </c>
      <c r="G1816" t="inlineStr">
        <is>
          <t>Second Class</t>
        </is>
      </c>
      <c r="H1816" t="n">
        <v>11</v>
      </c>
      <c r="I1816" s="11" t="n">
        <v>1021.06</v>
      </c>
      <c r="J1816" s="12" t="n">
        <v>0.3</v>
      </c>
      <c r="K1816" s="11" t="n">
        <v>7862.16</v>
      </c>
      <c r="L1816" s="11" t="n">
        <v>416.41</v>
      </c>
      <c r="M1816" s="12" t="n">
        <v>0.053</v>
      </c>
    </row>
    <row r="1817">
      <c r="A1817" t="inlineStr">
        <is>
          <t>ORD-10078</t>
        </is>
      </c>
      <c r="B1817" s="10" t="inlineStr">
        <is>
          <t>2025-10-21</t>
        </is>
      </c>
      <c r="C1817" t="inlineStr">
        <is>
          <t>Customer 108</t>
        </is>
      </c>
      <c r="D1817" t="inlineStr">
        <is>
          <t>East</t>
        </is>
      </c>
      <c r="E1817" t="inlineStr">
        <is>
          <t>Office Supplies</t>
        </is>
      </c>
      <c r="F1817" t="inlineStr">
        <is>
          <t>Pens (Box)</t>
        </is>
      </c>
      <c r="G1817" t="inlineStr">
        <is>
          <t>Same Day</t>
        </is>
      </c>
      <c r="H1817" t="n">
        <v>8</v>
      </c>
      <c r="I1817" s="11" t="n">
        <v>866.23</v>
      </c>
      <c r="J1817" s="12" t="n">
        <v>0.3</v>
      </c>
      <c r="K1817" s="11" t="n">
        <v>4850.89</v>
      </c>
      <c r="L1817" s="11" t="n">
        <v>-510.74</v>
      </c>
      <c r="M1817" s="12" t="n">
        <v>-0.1053</v>
      </c>
    </row>
    <row r="1818">
      <c r="A1818" t="inlineStr">
        <is>
          <t>ORD-10417</t>
        </is>
      </c>
      <c r="B1818" s="10" t="inlineStr">
        <is>
          <t>2025-10-21</t>
        </is>
      </c>
      <c r="C1818" t="inlineStr">
        <is>
          <t>Customer 167</t>
        </is>
      </c>
      <c r="D1818" t="inlineStr">
        <is>
          <t>South</t>
        </is>
      </c>
      <c r="E1818" t="inlineStr">
        <is>
          <t>Furniture</t>
        </is>
      </c>
      <c r="F1818" t="inlineStr">
        <is>
          <t>Desk</t>
        </is>
      </c>
      <c r="G1818" t="inlineStr">
        <is>
          <t>Standard Class</t>
        </is>
      </c>
      <c r="H1818" t="n">
        <v>3</v>
      </c>
      <c r="I1818" s="11" t="n">
        <v>397.89</v>
      </c>
      <c r="J1818" s="12" t="n">
        <v>0.1</v>
      </c>
      <c r="K1818" s="11" t="n">
        <v>1074.3</v>
      </c>
      <c r="L1818" s="11" t="n">
        <v>400.67</v>
      </c>
      <c r="M1818" s="12" t="n">
        <v>0.373</v>
      </c>
    </row>
    <row r="1819">
      <c r="A1819" t="inlineStr">
        <is>
          <t>ORD-11178</t>
        </is>
      </c>
      <c r="B1819" s="10" t="inlineStr">
        <is>
          <t>2025-10-21</t>
        </is>
      </c>
      <c r="C1819" t="inlineStr">
        <is>
          <t>Customer 78</t>
        </is>
      </c>
      <c r="D1819" t="inlineStr">
        <is>
          <t>North</t>
        </is>
      </c>
      <c r="E1819" t="inlineStr">
        <is>
          <t>Office Supplies</t>
        </is>
      </c>
      <c r="F1819" t="inlineStr">
        <is>
          <t>Binder</t>
        </is>
      </c>
      <c r="G1819" t="inlineStr">
        <is>
          <t>Standard Class</t>
        </is>
      </c>
      <c r="H1819" t="n">
        <v>3</v>
      </c>
      <c r="I1819" s="11" t="n">
        <v>1019.24</v>
      </c>
      <c r="J1819" s="12" t="n">
        <v>0</v>
      </c>
      <c r="K1819" s="11" t="n">
        <v>3057.72</v>
      </c>
      <c r="L1819" s="11" t="n">
        <v>556.05</v>
      </c>
      <c r="M1819" s="12" t="n">
        <v>0.1819</v>
      </c>
    </row>
    <row r="1820">
      <c r="A1820" t="inlineStr">
        <is>
          <t>ORD-11270</t>
        </is>
      </c>
      <c r="B1820" s="10" t="inlineStr">
        <is>
          <t>2025-10-21</t>
        </is>
      </c>
      <c r="C1820" t="inlineStr">
        <is>
          <t>Customer 15</t>
        </is>
      </c>
      <c r="D1820" t="inlineStr">
        <is>
          <t>East</t>
        </is>
      </c>
      <c r="E1820" t="inlineStr">
        <is>
          <t>Furniture</t>
        </is>
      </c>
      <c r="F1820" t="inlineStr">
        <is>
          <t>Chair</t>
        </is>
      </c>
      <c r="G1820" t="inlineStr">
        <is>
          <t>First Class</t>
        </is>
      </c>
      <c r="H1820" t="n">
        <v>8</v>
      </c>
      <c r="I1820" s="11" t="n">
        <v>1059.76</v>
      </c>
      <c r="J1820" s="12" t="n">
        <v>0.15</v>
      </c>
      <c r="K1820" s="11" t="n">
        <v>7206.37</v>
      </c>
      <c r="L1820" s="11" t="n">
        <v>2375.02</v>
      </c>
      <c r="M1820" s="12" t="n">
        <v>0.3296</v>
      </c>
    </row>
    <row r="1821">
      <c r="A1821" t="inlineStr">
        <is>
          <t>ORD-11246</t>
        </is>
      </c>
      <c r="B1821" s="10" t="inlineStr">
        <is>
          <t>2025-10-21</t>
        </is>
      </c>
      <c r="C1821" t="inlineStr">
        <is>
          <t>Customer 109</t>
        </is>
      </c>
      <c r="D1821" t="inlineStr">
        <is>
          <t>South</t>
        </is>
      </c>
      <c r="E1821" t="inlineStr">
        <is>
          <t>Technology</t>
        </is>
      </c>
      <c r="F1821" t="inlineStr">
        <is>
          <t>Wireless Mouse</t>
        </is>
      </c>
      <c r="G1821" t="inlineStr">
        <is>
          <t>Second Class</t>
        </is>
      </c>
      <c r="H1821" t="n">
        <v>10</v>
      </c>
      <c r="I1821" s="11" t="n">
        <v>625.38</v>
      </c>
      <c r="J1821" s="12" t="n">
        <v>0</v>
      </c>
      <c r="K1821" s="11" t="n">
        <v>6253.8</v>
      </c>
      <c r="L1821" s="11" t="n">
        <v>2661.09</v>
      </c>
      <c r="M1821" s="12" t="n">
        <v>0.4255</v>
      </c>
    </row>
    <row r="1822">
      <c r="A1822" t="inlineStr">
        <is>
          <t>ORD-10616</t>
        </is>
      </c>
      <c r="B1822" s="10" t="inlineStr">
        <is>
          <t>2025-10-22</t>
        </is>
      </c>
      <c r="C1822" t="inlineStr">
        <is>
          <t>Customer 110</t>
        </is>
      </c>
      <c r="D1822" t="inlineStr">
        <is>
          <t>East</t>
        </is>
      </c>
      <c r="E1822" t="inlineStr">
        <is>
          <t>Technology</t>
        </is>
      </c>
      <c r="F1822" t="inlineStr">
        <is>
          <t>Printer</t>
        </is>
      </c>
      <c r="G1822" t="inlineStr">
        <is>
          <t>Second Class</t>
        </is>
      </c>
      <c r="H1822" t="n">
        <v>6</v>
      </c>
      <c r="I1822" s="11" t="n">
        <v>357.57</v>
      </c>
      <c r="J1822" s="12" t="n">
        <v>0.1</v>
      </c>
      <c r="K1822" s="11" t="n">
        <v>1930.88</v>
      </c>
      <c r="L1822" s="11" t="n">
        <v>437.88</v>
      </c>
      <c r="M1822" s="12" t="n">
        <v>0.2268</v>
      </c>
    </row>
    <row r="1823">
      <c r="A1823" t="inlineStr">
        <is>
          <t>ORD-11247</t>
        </is>
      </c>
      <c r="B1823" s="10" t="inlineStr">
        <is>
          <t>2025-10-23</t>
        </is>
      </c>
      <c r="C1823" t="inlineStr">
        <is>
          <t>Customer 155</t>
        </is>
      </c>
      <c r="D1823" t="inlineStr">
        <is>
          <t>South</t>
        </is>
      </c>
      <c r="E1823" t="inlineStr">
        <is>
          <t>Furniture</t>
        </is>
      </c>
      <c r="F1823" t="inlineStr">
        <is>
          <t>Desk</t>
        </is>
      </c>
      <c r="G1823" t="inlineStr">
        <is>
          <t>Same Day</t>
        </is>
      </c>
      <c r="H1823" t="n">
        <v>1</v>
      </c>
      <c r="I1823" s="11" t="n">
        <v>1177.18</v>
      </c>
      <c r="J1823" s="12" t="n">
        <v>0</v>
      </c>
      <c r="K1823" s="11" t="n">
        <v>1177.18</v>
      </c>
      <c r="L1823" s="11" t="n">
        <v>344.22</v>
      </c>
      <c r="M1823" s="12" t="n">
        <v>0.2924</v>
      </c>
    </row>
    <row r="1824">
      <c r="A1824" t="inlineStr">
        <is>
          <t>ORD-10286</t>
        </is>
      </c>
      <c r="B1824" s="10" t="inlineStr">
        <is>
          <t>2025-10-23</t>
        </is>
      </c>
      <c r="C1824" t="inlineStr">
        <is>
          <t>Customer 52</t>
        </is>
      </c>
      <c r="D1824" t="inlineStr">
        <is>
          <t>North</t>
        </is>
      </c>
      <c r="E1824" t="inlineStr">
        <is>
          <t>Office Supplies</t>
        </is>
      </c>
      <c r="F1824" t="inlineStr">
        <is>
          <t>Pens (Box)</t>
        </is>
      </c>
      <c r="G1824" t="inlineStr">
        <is>
          <t>Same Day</t>
        </is>
      </c>
      <c r="H1824" t="n">
        <v>3</v>
      </c>
      <c r="I1824" s="11" t="n">
        <v>1165</v>
      </c>
      <c r="J1824" s="12" t="n">
        <v>0</v>
      </c>
      <c r="K1824" s="11" t="n">
        <v>3495</v>
      </c>
      <c r="L1824" s="11" t="n">
        <v>1651.9</v>
      </c>
      <c r="M1824" s="12" t="n">
        <v>0.4726</v>
      </c>
    </row>
    <row r="1825">
      <c r="A1825" t="inlineStr">
        <is>
          <t>ORD-11481</t>
        </is>
      </c>
      <c r="B1825" s="10" t="inlineStr">
        <is>
          <t>2025-10-25</t>
        </is>
      </c>
      <c r="C1825" t="inlineStr">
        <is>
          <t>Customer 109</t>
        </is>
      </c>
      <c r="D1825" t="inlineStr">
        <is>
          <t>South</t>
        </is>
      </c>
      <c r="E1825" t="inlineStr">
        <is>
          <t>Office Supplies</t>
        </is>
      </c>
      <c r="F1825" t="inlineStr">
        <is>
          <t>Pens (Box)</t>
        </is>
      </c>
      <c r="G1825" t="inlineStr">
        <is>
          <t>Standard Class</t>
        </is>
      </c>
      <c r="H1825" t="n">
        <v>11</v>
      </c>
      <c r="I1825" s="11" t="n">
        <v>581.01</v>
      </c>
      <c r="J1825" s="12" t="n">
        <v>0</v>
      </c>
      <c r="K1825" s="11" t="n">
        <v>6391.11</v>
      </c>
      <c r="L1825" s="11" t="n">
        <v>1840.37</v>
      </c>
      <c r="M1825" s="12" t="n">
        <v>0.288</v>
      </c>
    </row>
    <row r="1826">
      <c r="A1826" t="inlineStr">
        <is>
          <t>ORD-11056</t>
        </is>
      </c>
      <c r="B1826" s="10" t="inlineStr">
        <is>
          <t>2025-10-25</t>
        </is>
      </c>
      <c r="C1826" t="inlineStr">
        <is>
          <t>Customer 165</t>
        </is>
      </c>
      <c r="D1826" t="inlineStr">
        <is>
          <t>South</t>
        </is>
      </c>
      <c r="E1826" t="inlineStr">
        <is>
          <t>Furniture</t>
        </is>
      </c>
      <c r="F1826" t="inlineStr">
        <is>
          <t>Desk</t>
        </is>
      </c>
      <c r="G1826" t="inlineStr">
        <is>
          <t>Second Class</t>
        </is>
      </c>
      <c r="H1826" t="n">
        <v>3</v>
      </c>
      <c r="I1826" s="11" t="n">
        <v>431.37</v>
      </c>
      <c r="J1826" s="12" t="n">
        <v>0</v>
      </c>
      <c r="K1826" s="11" t="n">
        <v>1294.11</v>
      </c>
      <c r="L1826" s="11" t="n">
        <v>385.99</v>
      </c>
      <c r="M1826" s="12" t="n">
        <v>0.2983</v>
      </c>
    </row>
    <row r="1827">
      <c r="A1827" t="inlineStr">
        <is>
          <t>ORD-11136</t>
        </is>
      </c>
      <c r="B1827" s="10" t="inlineStr">
        <is>
          <t>2025-10-25</t>
        </is>
      </c>
      <c r="C1827" t="inlineStr">
        <is>
          <t>Customer 121</t>
        </is>
      </c>
      <c r="D1827" t="inlineStr">
        <is>
          <t>South</t>
        </is>
      </c>
      <c r="E1827" t="inlineStr">
        <is>
          <t>Technology</t>
        </is>
      </c>
      <c r="F1827" t="inlineStr">
        <is>
          <t>Monitor</t>
        </is>
      </c>
      <c r="G1827" t="inlineStr">
        <is>
          <t>Same Day</t>
        </is>
      </c>
      <c r="H1827" t="n">
        <v>5</v>
      </c>
      <c r="I1827" s="11" t="n">
        <v>605.96</v>
      </c>
      <c r="J1827" s="12" t="n">
        <v>0.2</v>
      </c>
      <c r="K1827" s="11" t="n">
        <v>2423.84</v>
      </c>
      <c r="L1827" s="11" t="n">
        <v>325.57</v>
      </c>
      <c r="M1827" s="12" t="n">
        <v>0.1343</v>
      </c>
    </row>
    <row r="1828">
      <c r="A1828" t="inlineStr">
        <is>
          <t>ORD-11499</t>
        </is>
      </c>
      <c r="B1828" s="10" t="inlineStr">
        <is>
          <t>2025-10-25</t>
        </is>
      </c>
      <c r="C1828" t="inlineStr">
        <is>
          <t>Customer 166</t>
        </is>
      </c>
      <c r="D1828" t="inlineStr">
        <is>
          <t>West</t>
        </is>
      </c>
      <c r="E1828" t="inlineStr">
        <is>
          <t>Technology</t>
        </is>
      </c>
      <c r="F1828" t="inlineStr">
        <is>
          <t>Laptop</t>
        </is>
      </c>
      <c r="G1828" t="inlineStr">
        <is>
          <t>Same Day</t>
        </is>
      </c>
      <c r="H1828" t="n">
        <v>10</v>
      </c>
      <c r="I1828" s="11" t="n">
        <v>1158.31</v>
      </c>
      <c r="J1828" s="12" t="n">
        <v>0</v>
      </c>
      <c r="K1828" s="11" t="n">
        <v>11583.1</v>
      </c>
      <c r="L1828" s="11" t="n">
        <v>4931.54</v>
      </c>
      <c r="M1828" s="12" t="n">
        <v>0.4258</v>
      </c>
    </row>
    <row r="1829">
      <c r="A1829" t="inlineStr">
        <is>
          <t>ORD-11999</t>
        </is>
      </c>
      <c r="B1829" s="10" t="inlineStr">
        <is>
          <t>2025-10-25</t>
        </is>
      </c>
      <c r="C1829" t="inlineStr">
        <is>
          <t>Customer 93</t>
        </is>
      </c>
      <c r="D1829" t="inlineStr">
        <is>
          <t>West</t>
        </is>
      </c>
      <c r="E1829" t="inlineStr">
        <is>
          <t>Furniture</t>
        </is>
      </c>
      <c r="F1829" t="inlineStr">
        <is>
          <t>Table Lamp</t>
        </is>
      </c>
      <c r="G1829" t="inlineStr">
        <is>
          <t>Second Class</t>
        </is>
      </c>
      <c r="H1829" t="n">
        <v>10</v>
      </c>
      <c r="I1829" s="11" t="n">
        <v>994.52</v>
      </c>
      <c r="J1829" s="12" t="n">
        <v>0</v>
      </c>
      <c r="K1829" s="11" t="n">
        <v>9945.200000000001</v>
      </c>
      <c r="L1829" s="11" t="n">
        <v>2569.61</v>
      </c>
      <c r="M1829" s="12" t="n">
        <v>0.2584</v>
      </c>
    </row>
    <row r="1830">
      <c r="A1830" t="inlineStr">
        <is>
          <t>ORD-10074</t>
        </is>
      </c>
      <c r="B1830" s="10" t="inlineStr">
        <is>
          <t>2025-10-25</t>
        </is>
      </c>
      <c r="C1830" t="inlineStr">
        <is>
          <t>Customer 160</t>
        </is>
      </c>
      <c r="D1830" t="inlineStr">
        <is>
          <t>West</t>
        </is>
      </c>
      <c r="E1830" t="inlineStr">
        <is>
          <t>Technology</t>
        </is>
      </c>
      <c r="F1830" t="inlineStr">
        <is>
          <t>Printer</t>
        </is>
      </c>
      <c r="G1830" t="inlineStr">
        <is>
          <t>Second Class</t>
        </is>
      </c>
      <c r="H1830" t="n">
        <v>5</v>
      </c>
      <c r="I1830" s="11" t="n">
        <v>706.61</v>
      </c>
      <c r="J1830" s="12" t="n">
        <v>0.15</v>
      </c>
      <c r="K1830" s="11" t="n">
        <v>3003.09</v>
      </c>
      <c r="L1830" s="11" t="n">
        <v>815.4</v>
      </c>
      <c r="M1830" s="12" t="n">
        <v>0.2715</v>
      </c>
    </row>
    <row r="1831">
      <c r="A1831" t="inlineStr">
        <is>
          <t>ORD-11193</t>
        </is>
      </c>
      <c r="B1831" s="10" t="inlineStr">
        <is>
          <t>2025-10-26</t>
        </is>
      </c>
      <c r="C1831" t="inlineStr">
        <is>
          <t>Customer 142</t>
        </is>
      </c>
      <c r="D1831" t="inlineStr">
        <is>
          <t>North</t>
        </is>
      </c>
      <c r="E1831" t="inlineStr">
        <is>
          <t>Furniture</t>
        </is>
      </c>
      <c r="F1831" t="inlineStr">
        <is>
          <t>Chair</t>
        </is>
      </c>
      <c r="G1831" t="inlineStr">
        <is>
          <t>Standard Class</t>
        </is>
      </c>
      <c r="H1831" t="n">
        <v>8</v>
      </c>
      <c r="I1831" s="11" t="n">
        <v>658.66</v>
      </c>
      <c r="J1831" s="12" t="n">
        <v>0.15</v>
      </c>
      <c r="K1831" s="11" t="n">
        <v>4478.89</v>
      </c>
      <c r="L1831" s="11" t="n">
        <v>772.3</v>
      </c>
      <c r="M1831" s="12" t="n">
        <v>0.1724</v>
      </c>
    </row>
    <row r="1832">
      <c r="A1832" t="inlineStr">
        <is>
          <t>ORD-11095</t>
        </is>
      </c>
      <c r="B1832" s="10" t="inlineStr">
        <is>
          <t>2025-10-26</t>
        </is>
      </c>
      <c r="C1832" t="inlineStr">
        <is>
          <t>Customer 194</t>
        </is>
      </c>
      <c r="D1832" t="inlineStr">
        <is>
          <t>South</t>
        </is>
      </c>
      <c r="E1832" t="inlineStr">
        <is>
          <t>Office Supplies</t>
        </is>
      </c>
      <c r="F1832" t="inlineStr">
        <is>
          <t>Pens (Box)</t>
        </is>
      </c>
      <c r="G1832" t="inlineStr">
        <is>
          <t>Same Day</t>
        </is>
      </c>
      <c r="H1832" t="n">
        <v>8</v>
      </c>
      <c r="I1832" s="11" t="n">
        <v>723.72</v>
      </c>
      <c r="J1832" s="12" t="n">
        <v>0.15</v>
      </c>
      <c r="K1832" s="11" t="n">
        <v>4921.3</v>
      </c>
      <c r="L1832" s="11" t="n">
        <v>1888.09</v>
      </c>
      <c r="M1832" s="12" t="n">
        <v>0.3837</v>
      </c>
    </row>
    <row r="1833">
      <c r="A1833" t="inlineStr">
        <is>
          <t>ORD-11924</t>
        </is>
      </c>
      <c r="B1833" s="10" t="inlineStr">
        <is>
          <t>2025-10-27</t>
        </is>
      </c>
      <c r="C1833" t="inlineStr">
        <is>
          <t>Customer 110</t>
        </is>
      </c>
      <c r="D1833" t="inlineStr">
        <is>
          <t>East</t>
        </is>
      </c>
      <c r="E1833" t="inlineStr">
        <is>
          <t>Furniture</t>
        </is>
      </c>
      <c r="F1833" t="inlineStr">
        <is>
          <t>Bookcase</t>
        </is>
      </c>
      <c r="G1833" t="inlineStr">
        <is>
          <t>Same Day</t>
        </is>
      </c>
      <c r="H1833" t="n">
        <v>11</v>
      </c>
      <c r="I1833" s="11" t="n">
        <v>1103.48</v>
      </c>
      <c r="J1833" s="12" t="n">
        <v>0</v>
      </c>
      <c r="K1833" s="11" t="n">
        <v>12138.28</v>
      </c>
      <c r="L1833" s="11" t="n">
        <v>5202.06</v>
      </c>
      <c r="M1833" s="12" t="n">
        <v>0.4286</v>
      </c>
    </row>
    <row r="1834">
      <c r="A1834" t="inlineStr">
        <is>
          <t>ORD-11803</t>
        </is>
      </c>
      <c r="B1834" s="10" t="inlineStr">
        <is>
          <t>2025-10-27</t>
        </is>
      </c>
      <c r="C1834" t="inlineStr">
        <is>
          <t>Customer 105</t>
        </is>
      </c>
      <c r="D1834" t="inlineStr">
        <is>
          <t>West</t>
        </is>
      </c>
      <c r="E1834" t="inlineStr">
        <is>
          <t>Office Supplies</t>
        </is>
      </c>
      <c r="F1834" t="inlineStr">
        <is>
          <t>Paper</t>
        </is>
      </c>
      <c r="G1834" t="inlineStr">
        <is>
          <t>Same Day</t>
        </is>
      </c>
      <c r="H1834" t="n">
        <v>6</v>
      </c>
      <c r="I1834" s="11" t="n">
        <v>870.6</v>
      </c>
      <c r="J1834" s="12" t="n">
        <v>0</v>
      </c>
      <c r="K1834" s="11" t="n">
        <v>5223.6</v>
      </c>
      <c r="L1834" s="11" t="n">
        <v>2178.02</v>
      </c>
      <c r="M1834" s="12" t="n">
        <v>0.417</v>
      </c>
    </row>
    <row r="1835">
      <c r="A1835" t="inlineStr">
        <is>
          <t>ORD-10199</t>
        </is>
      </c>
      <c r="B1835" s="10" t="inlineStr">
        <is>
          <t>2025-10-27</t>
        </is>
      </c>
      <c r="C1835" t="inlineStr">
        <is>
          <t>Customer 88</t>
        </is>
      </c>
      <c r="D1835" t="inlineStr">
        <is>
          <t>South</t>
        </is>
      </c>
      <c r="E1835" t="inlineStr">
        <is>
          <t>Furniture</t>
        </is>
      </c>
      <c r="F1835" t="inlineStr">
        <is>
          <t>Bookcase</t>
        </is>
      </c>
      <c r="G1835" t="inlineStr">
        <is>
          <t>Second Class</t>
        </is>
      </c>
      <c r="H1835" t="n">
        <v>10</v>
      </c>
      <c r="I1835" s="11" t="n">
        <v>58.91</v>
      </c>
      <c r="J1835" s="12" t="n">
        <v>0.2</v>
      </c>
      <c r="K1835" s="11" t="n">
        <v>471.28</v>
      </c>
      <c r="L1835" s="11" t="n">
        <v>4.06</v>
      </c>
      <c r="M1835" s="12" t="n">
        <v>0.0086</v>
      </c>
    </row>
    <row r="1836">
      <c r="A1836" t="inlineStr">
        <is>
          <t>ORD-11355</t>
        </is>
      </c>
      <c r="B1836" s="10" t="inlineStr">
        <is>
          <t>2025-10-27</t>
        </is>
      </c>
      <c r="C1836" t="inlineStr">
        <is>
          <t>Customer 148</t>
        </is>
      </c>
      <c r="D1836" t="inlineStr">
        <is>
          <t>North</t>
        </is>
      </c>
      <c r="E1836" t="inlineStr">
        <is>
          <t>Office Supplies</t>
        </is>
      </c>
      <c r="F1836" t="inlineStr">
        <is>
          <t>Paper</t>
        </is>
      </c>
      <c r="G1836" t="inlineStr">
        <is>
          <t>Standard Class</t>
        </is>
      </c>
      <c r="H1836" t="n">
        <v>9</v>
      </c>
      <c r="I1836" s="11" t="n">
        <v>416.65</v>
      </c>
      <c r="J1836" s="12" t="n">
        <v>0.2</v>
      </c>
      <c r="K1836" s="11" t="n">
        <v>2999.88</v>
      </c>
      <c r="L1836" s="11" t="n">
        <v>811.38</v>
      </c>
      <c r="M1836" s="12" t="n">
        <v>0.2705</v>
      </c>
    </row>
    <row r="1837">
      <c r="A1837" t="inlineStr">
        <is>
          <t>ORD-10827</t>
        </is>
      </c>
      <c r="B1837" s="10" t="inlineStr">
        <is>
          <t>2025-10-28</t>
        </is>
      </c>
      <c r="C1837" t="inlineStr">
        <is>
          <t>Customer 44</t>
        </is>
      </c>
      <c r="D1837" t="inlineStr">
        <is>
          <t>South</t>
        </is>
      </c>
      <c r="E1837" t="inlineStr">
        <is>
          <t>Furniture</t>
        </is>
      </c>
      <c r="F1837" t="inlineStr">
        <is>
          <t>Desk</t>
        </is>
      </c>
      <c r="G1837" t="inlineStr">
        <is>
          <t>Standard Class</t>
        </is>
      </c>
      <c r="H1837" t="n">
        <v>7</v>
      </c>
      <c r="I1837" s="11" t="n">
        <v>80.2</v>
      </c>
      <c r="J1837" s="12" t="n">
        <v>0.2</v>
      </c>
      <c r="K1837" s="11" t="n">
        <v>449.12</v>
      </c>
      <c r="L1837" s="11" t="n">
        <v>127.6</v>
      </c>
      <c r="M1837" s="12" t="n">
        <v>0.2841</v>
      </c>
    </row>
    <row r="1838">
      <c r="A1838" t="inlineStr">
        <is>
          <t>ORD-10374</t>
        </is>
      </c>
      <c r="B1838" s="10" t="inlineStr">
        <is>
          <t>2025-10-28</t>
        </is>
      </c>
      <c r="C1838" t="inlineStr">
        <is>
          <t>Customer 61</t>
        </is>
      </c>
      <c r="D1838" t="inlineStr">
        <is>
          <t>West</t>
        </is>
      </c>
      <c r="E1838" t="inlineStr">
        <is>
          <t>Technology</t>
        </is>
      </c>
      <c r="F1838" t="inlineStr">
        <is>
          <t>Laptop</t>
        </is>
      </c>
      <c r="G1838" t="inlineStr">
        <is>
          <t>First Class</t>
        </is>
      </c>
      <c r="H1838" t="n">
        <v>11</v>
      </c>
      <c r="I1838" s="11" t="n">
        <v>1083.48</v>
      </c>
      <c r="J1838" s="12" t="n">
        <v>0.15</v>
      </c>
      <c r="K1838" s="11" t="n">
        <v>10130.54</v>
      </c>
      <c r="L1838" s="11" t="n">
        <v>1538.06</v>
      </c>
      <c r="M1838" s="12" t="n">
        <v>0.1518</v>
      </c>
    </row>
    <row r="1839">
      <c r="A1839" t="inlineStr">
        <is>
          <t>ORD-10914</t>
        </is>
      </c>
      <c r="B1839" s="10" t="inlineStr">
        <is>
          <t>2025-10-28</t>
        </is>
      </c>
      <c r="C1839" t="inlineStr">
        <is>
          <t>Customer 136</t>
        </is>
      </c>
      <c r="D1839" t="inlineStr">
        <is>
          <t>South</t>
        </is>
      </c>
      <c r="E1839" t="inlineStr">
        <is>
          <t>Technology</t>
        </is>
      </c>
      <c r="F1839" t="inlineStr">
        <is>
          <t>Wireless Mouse</t>
        </is>
      </c>
      <c r="G1839" t="inlineStr">
        <is>
          <t>Second Class</t>
        </is>
      </c>
      <c r="H1839" t="n">
        <v>6</v>
      </c>
      <c r="I1839" s="11" t="n">
        <v>345.05</v>
      </c>
      <c r="J1839" s="12" t="n">
        <v>0</v>
      </c>
      <c r="K1839" s="11" t="n">
        <v>2070.3</v>
      </c>
      <c r="L1839" s="11" t="n">
        <v>726.5599999999999</v>
      </c>
      <c r="M1839" s="12" t="n">
        <v>0.3509</v>
      </c>
    </row>
    <row r="1840">
      <c r="A1840" t="inlineStr">
        <is>
          <t>ORD-10629</t>
        </is>
      </c>
      <c r="B1840" s="10" t="inlineStr">
        <is>
          <t>2025-10-29</t>
        </is>
      </c>
      <c r="C1840" t="inlineStr">
        <is>
          <t>Customer 79</t>
        </is>
      </c>
      <c r="D1840" t="inlineStr">
        <is>
          <t>East</t>
        </is>
      </c>
      <c r="E1840" t="inlineStr">
        <is>
          <t>Office Supplies</t>
        </is>
      </c>
      <c r="F1840" t="inlineStr">
        <is>
          <t>Binder</t>
        </is>
      </c>
      <c r="G1840" t="inlineStr">
        <is>
          <t>Standard Class</t>
        </is>
      </c>
      <c r="H1840" t="n">
        <v>6</v>
      </c>
      <c r="I1840" s="11" t="n">
        <v>1102.96</v>
      </c>
      <c r="J1840" s="12" t="n">
        <v>0.15</v>
      </c>
      <c r="K1840" s="11" t="n">
        <v>5625.1</v>
      </c>
      <c r="L1840" s="11" t="n">
        <v>2075.02</v>
      </c>
      <c r="M1840" s="12" t="n">
        <v>0.3689</v>
      </c>
    </row>
    <row r="1841">
      <c r="A1841" t="inlineStr">
        <is>
          <t>ORD-10543</t>
        </is>
      </c>
      <c r="B1841" s="10" t="inlineStr">
        <is>
          <t>2025-10-29</t>
        </is>
      </c>
      <c r="C1841" t="inlineStr">
        <is>
          <t>Customer 78</t>
        </is>
      </c>
      <c r="D1841" t="inlineStr">
        <is>
          <t>North</t>
        </is>
      </c>
      <c r="E1841" t="inlineStr">
        <is>
          <t>Office Supplies</t>
        </is>
      </c>
      <c r="F1841" t="inlineStr">
        <is>
          <t>Binder</t>
        </is>
      </c>
      <c r="G1841" t="inlineStr">
        <is>
          <t>Standard Class</t>
        </is>
      </c>
      <c r="H1841" t="n">
        <v>8</v>
      </c>
      <c r="I1841" s="11" t="n">
        <v>674.98</v>
      </c>
      <c r="J1841" s="12" t="n">
        <v>0.15</v>
      </c>
      <c r="K1841" s="11" t="n">
        <v>4589.86</v>
      </c>
      <c r="L1841" s="11" t="n">
        <v>619.0700000000001</v>
      </c>
      <c r="M1841" s="12" t="n">
        <v>0.1349</v>
      </c>
    </row>
    <row r="1842">
      <c r="A1842" t="inlineStr">
        <is>
          <t>ORD-10660</t>
        </is>
      </c>
      <c r="B1842" s="10" t="inlineStr">
        <is>
          <t>2025-10-30</t>
        </is>
      </c>
      <c r="C1842" t="inlineStr">
        <is>
          <t>Customer 52</t>
        </is>
      </c>
      <c r="D1842" t="inlineStr">
        <is>
          <t>North</t>
        </is>
      </c>
      <c r="E1842" t="inlineStr">
        <is>
          <t>Furniture</t>
        </is>
      </c>
      <c r="F1842" t="inlineStr">
        <is>
          <t>Table Lamp</t>
        </is>
      </c>
      <c r="G1842" t="inlineStr">
        <is>
          <t>First Class</t>
        </is>
      </c>
      <c r="H1842" t="n">
        <v>6</v>
      </c>
      <c r="I1842" s="11" t="n">
        <v>367.38</v>
      </c>
      <c r="J1842" s="12" t="n">
        <v>0</v>
      </c>
      <c r="K1842" s="11" t="n">
        <v>2204.28</v>
      </c>
      <c r="L1842" s="11" t="n">
        <v>546.55</v>
      </c>
      <c r="M1842" s="12" t="n">
        <v>0.2479</v>
      </c>
    </row>
    <row r="1843">
      <c r="A1843" t="inlineStr">
        <is>
          <t>ORD-11450</t>
        </is>
      </c>
      <c r="B1843" s="10" t="inlineStr">
        <is>
          <t>2025-10-30</t>
        </is>
      </c>
      <c r="C1843" t="inlineStr">
        <is>
          <t>Customer 112</t>
        </is>
      </c>
      <c r="D1843" t="inlineStr">
        <is>
          <t>West</t>
        </is>
      </c>
      <c r="E1843" t="inlineStr">
        <is>
          <t>Office Supplies</t>
        </is>
      </c>
      <c r="F1843" t="inlineStr">
        <is>
          <t>Paper</t>
        </is>
      </c>
      <c r="G1843" t="inlineStr">
        <is>
          <t>Standard Class</t>
        </is>
      </c>
      <c r="H1843" t="n">
        <v>10</v>
      </c>
      <c r="I1843" s="11" t="n">
        <v>754.9</v>
      </c>
      <c r="J1843" s="12" t="n">
        <v>0</v>
      </c>
      <c r="K1843" s="11" t="n">
        <v>7549</v>
      </c>
      <c r="L1843" s="11" t="n">
        <v>2424.36</v>
      </c>
      <c r="M1843" s="12" t="n">
        <v>0.3211</v>
      </c>
    </row>
    <row r="1844">
      <c r="A1844" t="inlineStr">
        <is>
          <t>ORD-10717</t>
        </is>
      </c>
      <c r="B1844" s="10" t="inlineStr">
        <is>
          <t>2025-10-30</t>
        </is>
      </c>
      <c r="C1844" t="inlineStr">
        <is>
          <t>Customer 146</t>
        </is>
      </c>
      <c r="D1844" t="inlineStr">
        <is>
          <t>West</t>
        </is>
      </c>
      <c r="E1844" t="inlineStr">
        <is>
          <t>Office Supplies</t>
        </is>
      </c>
      <c r="F1844" t="inlineStr">
        <is>
          <t>Paper</t>
        </is>
      </c>
      <c r="G1844" t="inlineStr">
        <is>
          <t>Second Class</t>
        </is>
      </c>
      <c r="H1844" t="n">
        <v>6</v>
      </c>
      <c r="I1844" s="11" t="n">
        <v>501.07</v>
      </c>
      <c r="J1844" s="12" t="n">
        <v>0.3</v>
      </c>
      <c r="K1844" s="11" t="n">
        <v>2104.49</v>
      </c>
      <c r="L1844" s="11" t="n">
        <v>532.66</v>
      </c>
      <c r="M1844" s="12" t="n">
        <v>0.2531</v>
      </c>
    </row>
    <row r="1845">
      <c r="A1845" t="inlineStr">
        <is>
          <t>ORD-11485</t>
        </is>
      </c>
      <c r="B1845" s="10" t="inlineStr">
        <is>
          <t>2025-10-30</t>
        </is>
      </c>
      <c r="C1845" t="inlineStr">
        <is>
          <t>Customer 4</t>
        </is>
      </c>
      <c r="D1845" t="inlineStr">
        <is>
          <t>South</t>
        </is>
      </c>
      <c r="E1845" t="inlineStr">
        <is>
          <t>Technology</t>
        </is>
      </c>
      <c r="F1845" t="inlineStr">
        <is>
          <t>Wireless Mouse</t>
        </is>
      </c>
      <c r="G1845" t="inlineStr">
        <is>
          <t>Second Class</t>
        </is>
      </c>
      <c r="H1845" t="n">
        <v>10</v>
      </c>
      <c r="I1845" s="11" t="n">
        <v>1006.44</v>
      </c>
      <c r="J1845" s="12" t="n">
        <v>0</v>
      </c>
      <c r="K1845" s="11" t="n">
        <v>10064.4</v>
      </c>
      <c r="L1845" s="11" t="n">
        <v>1662.26</v>
      </c>
      <c r="M1845" s="12" t="n">
        <v>0.1652</v>
      </c>
    </row>
    <row r="1846">
      <c r="A1846" t="inlineStr">
        <is>
          <t>ORD-10689</t>
        </is>
      </c>
      <c r="B1846" s="10" t="inlineStr">
        <is>
          <t>2025-10-31</t>
        </is>
      </c>
      <c r="C1846" t="inlineStr">
        <is>
          <t>Customer 35</t>
        </is>
      </c>
      <c r="D1846" t="inlineStr">
        <is>
          <t>West</t>
        </is>
      </c>
      <c r="E1846" t="inlineStr">
        <is>
          <t>Furniture</t>
        </is>
      </c>
      <c r="F1846" t="inlineStr">
        <is>
          <t>Bookcase</t>
        </is>
      </c>
      <c r="G1846" t="inlineStr">
        <is>
          <t>Same Day</t>
        </is>
      </c>
      <c r="H1846" t="n">
        <v>5</v>
      </c>
      <c r="I1846" s="11" t="n">
        <v>1019.16</v>
      </c>
      <c r="J1846" s="12" t="n">
        <v>0</v>
      </c>
      <c r="K1846" s="11" t="n">
        <v>5095.8</v>
      </c>
      <c r="L1846" s="11" t="n">
        <v>1082.95</v>
      </c>
      <c r="M1846" s="12" t="n">
        <v>0.2125</v>
      </c>
    </row>
    <row r="1847">
      <c r="A1847" t="inlineStr">
        <is>
          <t>ORD-10478</t>
        </is>
      </c>
      <c r="B1847" s="10" t="inlineStr">
        <is>
          <t>2025-10-31</t>
        </is>
      </c>
      <c r="C1847" t="inlineStr">
        <is>
          <t>Customer 103</t>
        </is>
      </c>
      <c r="D1847" t="inlineStr">
        <is>
          <t>West</t>
        </is>
      </c>
      <c r="E1847" t="inlineStr">
        <is>
          <t>Furniture</t>
        </is>
      </c>
      <c r="F1847" t="inlineStr">
        <is>
          <t>Table Lamp</t>
        </is>
      </c>
      <c r="G1847" t="inlineStr">
        <is>
          <t>Standard Class</t>
        </is>
      </c>
      <c r="H1847" t="n">
        <v>9</v>
      </c>
      <c r="I1847" s="11" t="n">
        <v>781.02</v>
      </c>
      <c r="J1847" s="12" t="n">
        <v>0.2</v>
      </c>
      <c r="K1847" s="11" t="n">
        <v>5623.34</v>
      </c>
      <c r="L1847" s="11" t="n">
        <v>1083.57</v>
      </c>
      <c r="M1847" s="12" t="n">
        <v>0.1927</v>
      </c>
    </row>
    <row r="1848">
      <c r="A1848" t="inlineStr">
        <is>
          <t>ORD-10526</t>
        </is>
      </c>
      <c r="B1848" s="10" t="inlineStr">
        <is>
          <t>2025-11-01</t>
        </is>
      </c>
      <c r="C1848" t="inlineStr">
        <is>
          <t>Customer 180</t>
        </is>
      </c>
      <c r="D1848" t="inlineStr">
        <is>
          <t>East</t>
        </is>
      </c>
      <c r="E1848" t="inlineStr">
        <is>
          <t>Furniture</t>
        </is>
      </c>
      <c r="F1848" t="inlineStr">
        <is>
          <t>Table Lamp</t>
        </is>
      </c>
      <c r="G1848" t="inlineStr">
        <is>
          <t>First Class</t>
        </is>
      </c>
      <c r="H1848" t="n">
        <v>5</v>
      </c>
      <c r="I1848" s="11" t="n">
        <v>907.67</v>
      </c>
      <c r="J1848" s="12" t="n">
        <v>0</v>
      </c>
      <c r="K1848" s="11" t="n">
        <v>4538.35</v>
      </c>
      <c r="L1848" s="11" t="n">
        <v>1995.7</v>
      </c>
      <c r="M1848" s="12" t="n">
        <v>0.4397</v>
      </c>
    </row>
    <row r="1849">
      <c r="A1849" t="inlineStr">
        <is>
          <t>ORD-10465</t>
        </is>
      </c>
      <c r="B1849" s="10" t="inlineStr">
        <is>
          <t>2025-11-01</t>
        </is>
      </c>
      <c r="C1849" t="inlineStr">
        <is>
          <t>Customer 14</t>
        </is>
      </c>
      <c r="D1849" t="inlineStr">
        <is>
          <t>West</t>
        </is>
      </c>
      <c r="E1849" t="inlineStr">
        <is>
          <t>Furniture</t>
        </is>
      </c>
      <c r="F1849" t="inlineStr">
        <is>
          <t>Table Lamp</t>
        </is>
      </c>
      <c r="G1849" t="inlineStr">
        <is>
          <t>Same Day</t>
        </is>
      </c>
      <c r="H1849" t="n">
        <v>8</v>
      </c>
      <c r="I1849" s="11" t="n">
        <v>328.38</v>
      </c>
      <c r="J1849" s="12" t="n">
        <v>0</v>
      </c>
      <c r="K1849" s="11" t="n">
        <v>2627.04</v>
      </c>
      <c r="L1849" s="11" t="n">
        <v>1164.4</v>
      </c>
      <c r="M1849" s="12" t="n">
        <v>0.4432</v>
      </c>
    </row>
    <row r="1850">
      <c r="A1850" t="inlineStr">
        <is>
          <t>ORD-11104</t>
        </is>
      </c>
      <c r="B1850" s="10" t="inlineStr">
        <is>
          <t>2025-11-01</t>
        </is>
      </c>
      <c r="C1850" t="inlineStr">
        <is>
          <t>Customer 34</t>
        </is>
      </c>
      <c r="D1850" t="inlineStr">
        <is>
          <t>East</t>
        </is>
      </c>
      <c r="E1850" t="inlineStr">
        <is>
          <t>Furniture</t>
        </is>
      </c>
      <c r="F1850" t="inlineStr">
        <is>
          <t>Table Lamp</t>
        </is>
      </c>
      <c r="G1850" t="inlineStr">
        <is>
          <t>Same Day</t>
        </is>
      </c>
      <c r="H1850" t="n">
        <v>7</v>
      </c>
      <c r="I1850" s="11" t="n">
        <v>30.15</v>
      </c>
      <c r="J1850" s="12" t="n">
        <v>0</v>
      </c>
      <c r="K1850" s="11" t="n">
        <v>211.05</v>
      </c>
      <c r="L1850" s="11" t="n">
        <v>53.09</v>
      </c>
      <c r="M1850" s="12" t="n">
        <v>0.2516</v>
      </c>
    </row>
    <row r="1851">
      <c r="A1851" t="inlineStr">
        <is>
          <t>ORD-10742</t>
        </is>
      </c>
      <c r="B1851" s="10" t="inlineStr">
        <is>
          <t>2025-11-02</t>
        </is>
      </c>
      <c r="C1851" t="inlineStr">
        <is>
          <t>Customer 125</t>
        </is>
      </c>
      <c r="D1851" t="inlineStr">
        <is>
          <t>West</t>
        </is>
      </c>
      <c r="E1851" t="inlineStr">
        <is>
          <t>Furniture</t>
        </is>
      </c>
      <c r="F1851" t="inlineStr">
        <is>
          <t>Bookcase</t>
        </is>
      </c>
      <c r="G1851" t="inlineStr">
        <is>
          <t>Second Class</t>
        </is>
      </c>
      <c r="H1851" t="n">
        <v>7</v>
      </c>
      <c r="I1851" s="11" t="n">
        <v>492.47</v>
      </c>
      <c r="J1851" s="12" t="n">
        <v>0</v>
      </c>
      <c r="K1851" s="11" t="n">
        <v>3447.29</v>
      </c>
      <c r="L1851" s="11" t="n">
        <v>1529.45</v>
      </c>
      <c r="M1851" s="12" t="n">
        <v>0.4437</v>
      </c>
    </row>
    <row r="1852">
      <c r="A1852" t="inlineStr">
        <is>
          <t>ORD-11925</t>
        </is>
      </c>
      <c r="B1852" s="10" t="inlineStr">
        <is>
          <t>2025-11-02</t>
        </is>
      </c>
      <c r="C1852" t="inlineStr">
        <is>
          <t>Customer 123</t>
        </is>
      </c>
      <c r="D1852" t="inlineStr">
        <is>
          <t>East</t>
        </is>
      </c>
      <c r="E1852" t="inlineStr">
        <is>
          <t>Technology</t>
        </is>
      </c>
      <c r="F1852" t="inlineStr">
        <is>
          <t>Monitor</t>
        </is>
      </c>
      <c r="G1852" t="inlineStr">
        <is>
          <t>Same Day</t>
        </is>
      </c>
      <c r="H1852" t="n">
        <v>10</v>
      </c>
      <c r="I1852" s="11" t="n">
        <v>379.99</v>
      </c>
      <c r="J1852" s="12" t="n">
        <v>0.15</v>
      </c>
      <c r="K1852" s="11" t="n">
        <v>3229.91</v>
      </c>
      <c r="L1852" s="11" t="n">
        <v>420.56</v>
      </c>
      <c r="M1852" s="12" t="n">
        <v>0.1302</v>
      </c>
    </row>
    <row r="1853">
      <c r="A1853" t="inlineStr">
        <is>
          <t>ORD-11378</t>
        </is>
      </c>
      <c r="B1853" s="10" t="inlineStr">
        <is>
          <t>2025-11-02</t>
        </is>
      </c>
      <c r="C1853" t="inlineStr">
        <is>
          <t>Customer 39</t>
        </is>
      </c>
      <c r="D1853" t="inlineStr">
        <is>
          <t>South</t>
        </is>
      </c>
      <c r="E1853" t="inlineStr">
        <is>
          <t>Technology</t>
        </is>
      </c>
      <c r="F1853" t="inlineStr">
        <is>
          <t>Printer</t>
        </is>
      </c>
      <c r="G1853" t="inlineStr">
        <is>
          <t>First Class</t>
        </is>
      </c>
      <c r="H1853" t="n">
        <v>1</v>
      </c>
      <c r="I1853" s="11" t="n">
        <v>945.1</v>
      </c>
      <c r="J1853" s="12" t="n">
        <v>0.15</v>
      </c>
      <c r="K1853" s="11" t="n">
        <v>803.34</v>
      </c>
      <c r="L1853" s="11" t="n">
        <v>23.74</v>
      </c>
      <c r="M1853" s="12" t="n">
        <v>0.0296</v>
      </c>
    </row>
    <row r="1854">
      <c r="A1854" t="inlineStr">
        <is>
          <t>ORD-11957</t>
        </is>
      </c>
      <c r="B1854" s="10" t="inlineStr">
        <is>
          <t>2025-11-02</t>
        </is>
      </c>
      <c r="C1854" t="inlineStr">
        <is>
          <t>Customer 93</t>
        </is>
      </c>
      <c r="D1854" t="inlineStr">
        <is>
          <t>West</t>
        </is>
      </c>
      <c r="E1854" t="inlineStr">
        <is>
          <t>Furniture</t>
        </is>
      </c>
      <c r="F1854" t="inlineStr">
        <is>
          <t>Bookcase</t>
        </is>
      </c>
      <c r="G1854" t="inlineStr">
        <is>
          <t>Second Class</t>
        </is>
      </c>
      <c r="H1854" t="n">
        <v>5</v>
      </c>
      <c r="I1854" s="11" t="n">
        <v>1143.9</v>
      </c>
      <c r="J1854" s="12" t="n">
        <v>0.15</v>
      </c>
      <c r="K1854" s="11" t="n">
        <v>4861.57</v>
      </c>
      <c r="L1854" s="11" t="n">
        <v>1414.44</v>
      </c>
      <c r="M1854" s="12" t="n">
        <v>0.2909</v>
      </c>
    </row>
    <row r="1855">
      <c r="A1855" t="inlineStr">
        <is>
          <t>ORD-11818</t>
        </is>
      </c>
      <c r="B1855" s="10" t="inlineStr">
        <is>
          <t>2025-11-02</t>
        </is>
      </c>
      <c r="C1855" t="inlineStr">
        <is>
          <t>Customer 19</t>
        </is>
      </c>
      <c r="D1855" t="inlineStr">
        <is>
          <t>West</t>
        </is>
      </c>
      <c r="E1855" t="inlineStr">
        <is>
          <t>Furniture</t>
        </is>
      </c>
      <c r="F1855" t="inlineStr">
        <is>
          <t>Table Lamp</t>
        </is>
      </c>
      <c r="G1855" t="inlineStr">
        <is>
          <t>Same Day</t>
        </is>
      </c>
      <c r="H1855" t="n">
        <v>4</v>
      </c>
      <c r="I1855" s="11" t="n">
        <v>326.43</v>
      </c>
      <c r="J1855" s="12" t="n">
        <v>0.3</v>
      </c>
      <c r="K1855" s="11" t="n">
        <v>914</v>
      </c>
      <c r="L1855" s="11" t="n">
        <v>-111.95</v>
      </c>
      <c r="M1855" s="12" t="n">
        <v>-0.1225</v>
      </c>
    </row>
    <row r="1856">
      <c r="A1856" t="inlineStr">
        <is>
          <t>ORD-11997</t>
        </is>
      </c>
      <c r="B1856" s="10" t="inlineStr">
        <is>
          <t>2025-11-02</t>
        </is>
      </c>
      <c r="C1856" t="inlineStr">
        <is>
          <t>Customer 43</t>
        </is>
      </c>
      <c r="D1856" t="inlineStr">
        <is>
          <t>East</t>
        </is>
      </c>
      <c r="E1856" t="inlineStr">
        <is>
          <t>Furniture</t>
        </is>
      </c>
      <c r="F1856" t="inlineStr">
        <is>
          <t>Bookcase</t>
        </is>
      </c>
      <c r="G1856" t="inlineStr">
        <is>
          <t>Same Day</t>
        </is>
      </c>
      <c r="H1856" t="n">
        <v>10</v>
      </c>
      <c r="I1856" s="11" t="n">
        <v>592.58</v>
      </c>
      <c r="J1856" s="12" t="n">
        <v>0.1</v>
      </c>
      <c r="K1856" s="11" t="n">
        <v>5333.22</v>
      </c>
      <c r="L1856" s="11" t="n">
        <v>871.02</v>
      </c>
      <c r="M1856" s="12" t="n">
        <v>0.1633</v>
      </c>
    </row>
    <row r="1857">
      <c r="A1857" t="inlineStr">
        <is>
          <t>ORD-10026</t>
        </is>
      </c>
      <c r="B1857" s="10" t="inlineStr">
        <is>
          <t>2025-11-03</t>
        </is>
      </c>
      <c r="C1857" t="inlineStr">
        <is>
          <t>Customer 115</t>
        </is>
      </c>
      <c r="D1857" t="inlineStr">
        <is>
          <t>East</t>
        </is>
      </c>
      <c r="E1857" t="inlineStr">
        <is>
          <t>Office Supplies</t>
        </is>
      </c>
      <c r="F1857" t="inlineStr">
        <is>
          <t>Paper</t>
        </is>
      </c>
      <c r="G1857" t="inlineStr">
        <is>
          <t>Standard Class</t>
        </is>
      </c>
      <c r="H1857" t="n">
        <v>11</v>
      </c>
      <c r="I1857" s="11" t="n">
        <v>202.81</v>
      </c>
      <c r="J1857" s="12" t="n">
        <v>0</v>
      </c>
      <c r="K1857" s="11" t="n">
        <v>2230.91</v>
      </c>
      <c r="L1857" s="11" t="n">
        <v>995.51</v>
      </c>
      <c r="M1857" s="12" t="n">
        <v>0.4462</v>
      </c>
    </row>
    <row r="1858">
      <c r="A1858" t="inlineStr">
        <is>
          <t>ORD-11830</t>
        </is>
      </c>
      <c r="B1858" s="10" t="inlineStr">
        <is>
          <t>2025-11-03</t>
        </is>
      </c>
      <c r="C1858" t="inlineStr">
        <is>
          <t>Customer 197</t>
        </is>
      </c>
      <c r="D1858" t="inlineStr">
        <is>
          <t>South</t>
        </is>
      </c>
      <c r="E1858" t="inlineStr">
        <is>
          <t>Office Supplies</t>
        </is>
      </c>
      <c r="F1858" t="inlineStr">
        <is>
          <t>Stapler</t>
        </is>
      </c>
      <c r="G1858" t="inlineStr">
        <is>
          <t>Standard Class</t>
        </is>
      </c>
      <c r="H1858" t="n">
        <v>9</v>
      </c>
      <c r="I1858" s="11" t="n">
        <v>311.93</v>
      </c>
      <c r="J1858" s="12" t="n">
        <v>0.15</v>
      </c>
      <c r="K1858" s="11" t="n">
        <v>2386.26</v>
      </c>
      <c r="L1858" s="11" t="n">
        <v>626.61</v>
      </c>
      <c r="M1858" s="12" t="n">
        <v>0.2626</v>
      </c>
    </row>
    <row r="1859">
      <c r="A1859" t="inlineStr">
        <is>
          <t>ORD-11831</t>
        </is>
      </c>
      <c r="B1859" s="10" t="inlineStr">
        <is>
          <t>2025-11-03</t>
        </is>
      </c>
      <c r="C1859" t="inlineStr">
        <is>
          <t>Customer 124</t>
        </is>
      </c>
      <c r="D1859" t="inlineStr">
        <is>
          <t>South</t>
        </is>
      </c>
      <c r="E1859" t="inlineStr">
        <is>
          <t>Office Supplies</t>
        </is>
      </c>
      <c r="F1859" t="inlineStr">
        <is>
          <t>Stapler</t>
        </is>
      </c>
      <c r="G1859" t="inlineStr">
        <is>
          <t>First Class</t>
        </is>
      </c>
      <c r="H1859" t="n">
        <v>1</v>
      </c>
      <c r="I1859" s="11" t="n">
        <v>488.8</v>
      </c>
      <c r="J1859" s="12" t="n">
        <v>0.15</v>
      </c>
      <c r="K1859" s="11" t="n">
        <v>415.48</v>
      </c>
      <c r="L1859" s="11" t="n">
        <v>65.48999999999999</v>
      </c>
      <c r="M1859" s="12" t="n">
        <v>0.1576</v>
      </c>
    </row>
    <row r="1860">
      <c r="A1860" t="inlineStr">
        <is>
          <t>ORD-10256</t>
        </is>
      </c>
      <c r="B1860" s="10" t="inlineStr">
        <is>
          <t>2025-11-03</t>
        </is>
      </c>
      <c r="C1860" t="inlineStr">
        <is>
          <t>Customer 28</t>
        </is>
      </c>
      <c r="D1860" t="inlineStr">
        <is>
          <t>West</t>
        </is>
      </c>
      <c r="E1860" t="inlineStr">
        <is>
          <t>Furniture</t>
        </is>
      </c>
      <c r="F1860" t="inlineStr">
        <is>
          <t>Table Lamp</t>
        </is>
      </c>
      <c r="G1860" t="inlineStr">
        <is>
          <t>Standard Class</t>
        </is>
      </c>
      <c r="H1860" t="n">
        <v>8</v>
      </c>
      <c r="I1860" s="11" t="n">
        <v>401.93</v>
      </c>
      <c r="J1860" s="12" t="n">
        <v>0</v>
      </c>
      <c r="K1860" s="11" t="n">
        <v>3215.44</v>
      </c>
      <c r="L1860" s="11" t="n">
        <v>1369.39</v>
      </c>
      <c r="M1860" s="12" t="n">
        <v>0.4259</v>
      </c>
    </row>
    <row r="1861">
      <c r="A1861" t="inlineStr">
        <is>
          <t>ORD-10231</t>
        </is>
      </c>
      <c r="B1861" s="10" t="inlineStr">
        <is>
          <t>2025-11-03</t>
        </is>
      </c>
      <c r="C1861" t="inlineStr">
        <is>
          <t>Customer 57</t>
        </is>
      </c>
      <c r="D1861" t="inlineStr">
        <is>
          <t>East</t>
        </is>
      </c>
      <c r="E1861" t="inlineStr">
        <is>
          <t>Office Supplies</t>
        </is>
      </c>
      <c r="F1861" t="inlineStr">
        <is>
          <t>Stapler</t>
        </is>
      </c>
      <c r="G1861" t="inlineStr">
        <is>
          <t>Same Day</t>
        </is>
      </c>
      <c r="H1861" t="n">
        <v>3</v>
      </c>
      <c r="I1861" s="11" t="n">
        <v>214.68</v>
      </c>
      <c r="J1861" s="12" t="n">
        <v>0.15</v>
      </c>
      <c r="K1861" s="11" t="n">
        <v>547.4299999999999</v>
      </c>
      <c r="L1861" s="11" t="n">
        <v>165.74</v>
      </c>
      <c r="M1861" s="12" t="n">
        <v>0.3028</v>
      </c>
    </row>
    <row r="1862">
      <c r="A1862" t="inlineStr">
        <is>
          <t>ORD-10718</t>
        </is>
      </c>
      <c r="B1862" s="10" t="inlineStr">
        <is>
          <t>2025-11-04</t>
        </is>
      </c>
      <c r="C1862" t="inlineStr">
        <is>
          <t>Customer 130</t>
        </is>
      </c>
      <c r="D1862" t="inlineStr">
        <is>
          <t>East</t>
        </is>
      </c>
      <c r="E1862" t="inlineStr">
        <is>
          <t>Office Supplies</t>
        </is>
      </c>
      <c r="F1862" t="inlineStr">
        <is>
          <t>Stapler</t>
        </is>
      </c>
      <c r="G1862" t="inlineStr">
        <is>
          <t>First Class</t>
        </is>
      </c>
      <c r="H1862" t="n">
        <v>6</v>
      </c>
      <c r="I1862" s="11" t="n">
        <v>611.25</v>
      </c>
      <c r="J1862" s="12" t="n">
        <v>0</v>
      </c>
      <c r="K1862" s="11" t="n">
        <v>3667.5</v>
      </c>
      <c r="L1862" s="11" t="n">
        <v>1483.98</v>
      </c>
      <c r="M1862" s="12" t="n">
        <v>0.4046</v>
      </c>
    </row>
    <row r="1863">
      <c r="A1863" t="inlineStr">
        <is>
          <t>ORD-10326</t>
        </is>
      </c>
      <c r="B1863" s="10" t="inlineStr">
        <is>
          <t>2025-11-04</t>
        </is>
      </c>
      <c r="C1863" t="inlineStr">
        <is>
          <t>Customer 99</t>
        </is>
      </c>
      <c r="D1863" t="inlineStr">
        <is>
          <t>East</t>
        </is>
      </c>
      <c r="E1863" t="inlineStr">
        <is>
          <t>Furniture</t>
        </is>
      </c>
      <c r="F1863" t="inlineStr">
        <is>
          <t>Desk</t>
        </is>
      </c>
      <c r="G1863" t="inlineStr">
        <is>
          <t>Same Day</t>
        </is>
      </c>
      <c r="H1863" t="n">
        <v>9</v>
      </c>
      <c r="I1863" s="11" t="n">
        <v>109.87</v>
      </c>
      <c r="J1863" s="12" t="n">
        <v>0</v>
      </c>
      <c r="K1863" s="11" t="n">
        <v>988.83</v>
      </c>
      <c r="L1863" s="11" t="n">
        <v>172.68</v>
      </c>
      <c r="M1863" s="12" t="n">
        <v>0.1746</v>
      </c>
    </row>
    <row r="1864">
      <c r="A1864" t="inlineStr">
        <is>
          <t>ORD-10427</t>
        </is>
      </c>
      <c r="B1864" s="10" t="inlineStr">
        <is>
          <t>2025-11-04</t>
        </is>
      </c>
      <c r="C1864" t="inlineStr">
        <is>
          <t>Customer 108</t>
        </is>
      </c>
      <c r="D1864" t="inlineStr">
        <is>
          <t>East</t>
        </is>
      </c>
      <c r="E1864" t="inlineStr">
        <is>
          <t>Furniture</t>
        </is>
      </c>
      <c r="F1864" t="inlineStr">
        <is>
          <t>Table Lamp</t>
        </is>
      </c>
      <c r="G1864" t="inlineStr">
        <is>
          <t>Same Day</t>
        </is>
      </c>
      <c r="H1864" t="n">
        <v>7</v>
      </c>
      <c r="I1864" s="11" t="n">
        <v>551.99</v>
      </c>
      <c r="J1864" s="12" t="n">
        <v>0</v>
      </c>
      <c r="K1864" s="11" t="n">
        <v>3863.93</v>
      </c>
      <c r="L1864" s="11" t="n">
        <v>1594.48</v>
      </c>
      <c r="M1864" s="12" t="n">
        <v>0.4127</v>
      </c>
    </row>
    <row r="1865">
      <c r="A1865" t="inlineStr">
        <is>
          <t>ORD-11417</t>
        </is>
      </c>
      <c r="B1865" s="10" t="inlineStr">
        <is>
          <t>2025-11-04</t>
        </is>
      </c>
      <c r="C1865" t="inlineStr">
        <is>
          <t>Customer 12</t>
        </is>
      </c>
      <c r="D1865" t="inlineStr">
        <is>
          <t>West</t>
        </is>
      </c>
      <c r="E1865" t="inlineStr">
        <is>
          <t>Furniture</t>
        </is>
      </c>
      <c r="F1865" t="inlineStr">
        <is>
          <t>Table Lamp</t>
        </is>
      </c>
      <c r="G1865" t="inlineStr">
        <is>
          <t>Same Day</t>
        </is>
      </c>
      <c r="H1865" t="n">
        <v>6</v>
      </c>
      <c r="I1865" s="11" t="n">
        <v>1013.35</v>
      </c>
      <c r="J1865" s="12" t="n">
        <v>0.2</v>
      </c>
      <c r="K1865" s="11" t="n">
        <v>4864.08</v>
      </c>
      <c r="L1865" s="11" t="n">
        <v>1095.06</v>
      </c>
      <c r="M1865" s="12" t="n">
        <v>0.2251</v>
      </c>
    </row>
    <row r="1866">
      <c r="A1866" t="inlineStr">
        <is>
          <t>ORD-11838</t>
        </is>
      </c>
      <c r="B1866" s="10" t="inlineStr">
        <is>
          <t>2025-11-04</t>
        </is>
      </c>
      <c r="C1866" t="inlineStr">
        <is>
          <t>Customer 29</t>
        </is>
      </c>
      <c r="D1866" t="inlineStr">
        <is>
          <t>East</t>
        </is>
      </c>
      <c r="E1866" t="inlineStr">
        <is>
          <t>Office Supplies</t>
        </is>
      </c>
      <c r="F1866" t="inlineStr">
        <is>
          <t>Pens (Box)</t>
        </is>
      </c>
      <c r="G1866" t="inlineStr">
        <is>
          <t>First Class</t>
        </is>
      </c>
      <c r="H1866" t="n">
        <v>7</v>
      </c>
      <c r="I1866" s="11" t="n">
        <v>68.67</v>
      </c>
      <c r="J1866" s="12" t="n">
        <v>0</v>
      </c>
      <c r="K1866" s="11" t="n">
        <v>480.69</v>
      </c>
      <c r="L1866" s="11" t="n">
        <v>122.24</v>
      </c>
      <c r="M1866" s="12" t="n">
        <v>0.2543</v>
      </c>
    </row>
    <row r="1867">
      <c r="A1867" t="inlineStr">
        <is>
          <t>ORD-11191</t>
        </is>
      </c>
      <c r="B1867" s="10" t="inlineStr">
        <is>
          <t>2025-11-05</t>
        </is>
      </c>
      <c r="C1867" t="inlineStr">
        <is>
          <t>Customer 85</t>
        </is>
      </c>
      <c r="D1867" t="inlineStr">
        <is>
          <t>East</t>
        </is>
      </c>
      <c r="E1867" t="inlineStr">
        <is>
          <t>Technology</t>
        </is>
      </c>
      <c r="F1867" t="inlineStr">
        <is>
          <t>Monitor</t>
        </is>
      </c>
      <c r="G1867" t="inlineStr">
        <is>
          <t>Second Class</t>
        </is>
      </c>
      <c r="H1867" t="n">
        <v>3</v>
      </c>
      <c r="I1867" s="11" t="n">
        <v>863.92</v>
      </c>
      <c r="J1867" s="12" t="n">
        <v>0.1</v>
      </c>
      <c r="K1867" s="11" t="n">
        <v>2332.58</v>
      </c>
      <c r="L1867" s="11" t="n">
        <v>739.89</v>
      </c>
      <c r="M1867" s="12" t="n">
        <v>0.3172</v>
      </c>
    </row>
    <row r="1868">
      <c r="A1868" t="inlineStr">
        <is>
          <t>ORD-11313</t>
        </is>
      </c>
      <c r="B1868" s="10" t="inlineStr">
        <is>
          <t>2025-11-05</t>
        </is>
      </c>
      <c r="C1868" t="inlineStr">
        <is>
          <t>Customer 4</t>
        </is>
      </c>
      <c r="D1868" t="inlineStr">
        <is>
          <t>South</t>
        </is>
      </c>
      <c r="E1868" t="inlineStr">
        <is>
          <t>Technology</t>
        </is>
      </c>
      <c r="F1868" t="inlineStr">
        <is>
          <t>Wireless Mouse</t>
        </is>
      </c>
      <c r="G1868" t="inlineStr">
        <is>
          <t>Second Class</t>
        </is>
      </c>
      <c r="H1868" t="n">
        <v>10</v>
      </c>
      <c r="I1868" s="11" t="n">
        <v>612.85</v>
      </c>
      <c r="J1868" s="12" t="n">
        <v>0</v>
      </c>
      <c r="K1868" s="11" t="n">
        <v>6128.5</v>
      </c>
      <c r="L1868" s="11" t="n">
        <v>3053.06</v>
      </c>
      <c r="M1868" s="12" t="n">
        <v>0.4982</v>
      </c>
    </row>
    <row r="1869">
      <c r="A1869" t="inlineStr">
        <is>
          <t>ORD-10993</t>
        </is>
      </c>
      <c r="B1869" s="10" t="inlineStr">
        <is>
          <t>2025-11-06</t>
        </is>
      </c>
      <c r="C1869" t="inlineStr">
        <is>
          <t>Customer 19</t>
        </is>
      </c>
      <c r="D1869" t="inlineStr">
        <is>
          <t>West</t>
        </is>
      </c>
      <c r="E1869" t="inlineStr">
        <is>
          <t>Office Supplies</t>
        </is>
      </c>
      <c r="F1869" t="inlineStr">
        <is>
          <t>Pens (Box)</t>
        </is>
      </c>
      <c r="G1869" t="inlineStr">
        <is>
          <t>Same Day</t>
        </is>
      </c>
      <c r="H1869" t="n">
        <v>4</v>
      </c>
      <c r="I1869" s="11" t="n">
        <v>1036.87</v>
      </c>
      <c r="J1869" s="12" t="n">
        <v>0</v>
      </c>
      <c r="K1869" s="11" t="n">
        <v>4147.48</v>
      </c>
      <c r="L1869" s="11" t="n">
        <v>854.5599999999999</v>
      </c>
      <c r="M1869" s="12" t="n">
        <v>0.206</v>
      </c>
    </row>
    <row r="1870">
      <c r="A1870" t="inlineStr">
        <is>
          <t>ORD-10020</t>
        </is>
      </c>
      <c r="B1870" s="10" t="inlineStr">
        <is>
          <t>2025-11-06</t>
        </is>
      </c>
      <c r="C1870" t="inlineStr">
        <is>
          <t>Customer 136</t>
        </is>
      </c>
      <c r="D1870" t="inlineStr">
        <is>
          <t>South</t>
        </is>
      </c>
      <c r="E1870" t="inlineStr">
        <is>
          <t>Technology</t>
        </is>
      </c>
      <c r="F1870" t="inlineStr">
        <is>
          <t>Monitor</t>
        </is>
      </c>
      <c r="G1870" t="inlineStr">
        <is>
          <t>Standard Class</t>
        </is>
      </c>
      <c r="H1870" t="n">
        <v>11</v>
      </c>
      <c r="I1870" s="11" t="n">
        <v>34.71</v>
      </c>
      <c r="J1870" s="12" t="n">
        <v>0</v>
      </c>
      <c r="K1870" s="11" t="n">
        <v>381.81</v>
      </c>
      <c r="L1870" s="11" t="n">
        <v>106.18</v>
      </c>
      <c r="M1870" s="12" t="n">
        <v>0.2781</v>
      </c>
    </row>
    <row r="1871">
      <c r="A1871" t="inlineStr">
        <is>
          <t>ORD-10441</t>
        </is>
      </c>
      <c r="B1871" s="10" t="inlineStr">
        <is>
          <t>2025-11-07</t>
        </is>
      </c>
      <c r="C1871" t="inlineStr">
        <is>
          <t>Customer 122</t>
        </is>
      </c>
      <c r="D1871" t="inlineStr">
        <is>
          <t>East</t>
        </is>
      </c>
      <c r="E1871" t="inlineStr">
        <is>
          <t>Office Supplies</t>
        </is>
      </c>
      <c r="F1871" t="inlineStr">
        <is>
          <t>Stapler</t>
        </is>
      </c>
      <c r="G1871" t="inlineStr">
        <is>
          <t>Second Class</t>
        </is>
      </c>
      <c r="H1871" t="n">
        <v>11</v>
      </c>
      <c r="I1871" s="11" t="n">
        <v>125.41</v>
      </c>
      <c r="J1871" s="12" t="n">
        <v>0</v>
      </c>
      <c r="K1871" s="11" t="n">
        <v>1379.51</v>
      </c>
      <c r="L1871" s="11" t="n">
        <v>565.6</v>
      </c>
      <c r="M1871" s="12" t="n">
        <v>0.41</v>
      </c>
    </row>
    <row r="1872">
      <c r="A1872" t="inlineStr">
        <is>
          <t>ORD-11972</t>
        </is>
      </c>
      <c r="B1872" s="10" t="inlineStr">
        <is>
          <t>2025-11-07</t>
        </is>
      </c>
      <c r="C1872" t="inlineStr">
        <is>
          <t>Customer 109</t>
        </is>
      </c>
      <c r="D1872" t="inlineStr">
        <is>
          <t>South</t>
        </is>
      </c>
      <c r="E1872" t="inlineStr">
        <is>
          <t>Office Supplies</t>
        </is>
      </c>
      <c r="F1872" t="inlineStr">
        <is>
          <t>Binder</t>
        </is>
      </c>
      <c r="G1872" t="inlineStr">
        <is>
          <t>Same Day</t>
        </is>
      </c>
      <c r="H1872" t="n">
        <v>10</v>
      </c>
      <c r="I1872" s="11" t="n">
        <v>187.8</v>
      </c>
      <c r="J1872" s="12" t="n">
        <v>0.2</v>
      </c>
      <c r="K1872" s="11" t="n">
        <v>1502.4</v>
      </c>
      <c r="L1872" s="11" t="n">
        <v>232.25</v>
      </c>
      <c r="M1872" s="12" t="n">
        <v>0.1546</v>
      </c>
    </row>
    <row r="1873">
      <c r="A1873" t="inlineStr">
        <is>
          <t>ORD-10445</t>
        </is>
      </c>
      <c r="B1873" s="10" t="inlineStr">
        <is>
          <t>2025-11-08</t>
        </is>
      </c>
      <c r="C1873" t="inlineStr">
        <is>
          <t>Customer 188</t>
        </is>
      </c>
      <c r="D1873" t="inlineStr">
        <is>
          <t>South</t>
        </is>
      </c>
      <c r="E1873" t="inlineStr">
        <is>
          <t>Furniture</t>
        </is>
      </c>
      <c r="F1873" t="inlineStr">
        <is>
          <t>Table Lamp</t>
        </is>
      </c>
      <c r="G1873" t="inlineStr">
        <is>
          <t>Standard Class</t>
        </is>
      </c>
      <c r="H1873" t="n">
        <v>7</v>
      </c>
      <c r="I1873" s="11" t="n">
        <v>196.6</v>
      </c>
      <c r="J1873" s="12" t="n">
        <v>0</v>
      </c>
      <c r="K1873" s="11" t="n">
        <v>1376.2</v>
      </c>
      <c r="L1873" s="11" t="n">
        <v>307.16</v>
      </c>
      <c r="M1873" s="12" t="n">
        <v>0.2232</v>
      </c>
    </row>
    <row r="1874">
      <c r="A1874" t="inlineStr">
        <is>
          <t>ORD-10265</t>
        </is>
      </c>
      <c r="B1874" s="10" t="inlineStr">
        <is>
          <t>2025-11-09</t>
        </is>
      </c>
      <c r="C1874" t="inlineStr">
        <is>
          <t>Customer 177</t>
        </is>
      </c>
      <c r="D1874" t="inlineStr">
        <is>
          <t>East</t>
        </is>
      </c>
      <c r="E1874" t="inlineStr">
        <is>
          <t>Office Supplies</t>
        </is>
      </c>
      <c r="F1874" t="inlineStr">
        <is>
          <t>Pens (Box)</t>
        </is>
      </c>
      <c r="G1874" t="inlineStr">
        <is>
          <t>Same Day</t>
        </is>
      </c>
      <c r="H1874" t="n">
        <v>6</v>
      </c>
      <c r="I1874" s="11" t="n">
        <v>601.54</v>
      </c>
      <c r="J1874" s="12" t="n">
        <v>0</v>
      </c>
      <c r="K1874" s="11" t="n">
        <v>3609.24</v>
      </c>
      <c r="L1874" s="11" t="n">
        <v>632.38</v>
      </c>
      <c r="M1874" s="12" t="n">
        <v>0.1752</v>
      </c>
    </row>
    <row r="1875">
      <c r="A1875" t="inlineStr">
        <is>
          <t>ORD-10835</t>
        </is>
      </c>
      <c r="B1875" s="10" t="inlineStr">
        <is>
          <t>2025-11-10</t>
        </is>
      </c>
      <c r="C1875" t="inlineStr">
        <is>
          <t>Customer 135</t>
        </is>
      </c>
      <c r="D1875" t="inlineStr">
        <is>
          <t>West</t>
        </is>
      </c>
      <c r="E1875" t="inlineStr">
        <is>
          <t>Furniture</t>
        </is>
      </c>
      <c r="F1875" t="inlineStr">
        <is>
          <t>Chair</t>
        </is>
      </c>
      <c r="G1875" t="inlineStr">
        <is>
          <t>Standard Class</t>
        </is>
      </c>
      <c r="H1875" t="n">
        <v>5</v>
      </c>
      <c r="I1875" s="11" t="n">
        <v>809.86</v>
      </c>
      <c r="J1875" s="12" t="n">
        <v>0</v>
      </c>
      <c r="K1875" s="11" t="n">
        <v>4049.3</v>
      </c>
      <c r="L1875" s="11" t="n">
        <v>727.51</v>
      </c>
      <c r="M1875" s="12" t="n">
        <v>0.1797</v>
      </c>
    </row>
    <row r="1876">
      <c r="A1876" t="inlineStr">
        <is>
          <t>ORD-10195</t>
        </is>
      </c>
      <c r="B1876" s="10" t="inlineStr">
        <is>
          <t>2025-11-10</t>
        </is>
      </c>
      <c r="C1876" t="inlineStr">
        <is>
          <t>Customer 76</t>
        </is>
      </c>
      <c r="D1876" t="inlineStr">
        <is>
          <t>South</t>
        </is>
      </c>
      <c r="E1876" t="inlineStr">
        <is>
          <t>Technology</t>
        </is>
      </c>
      <c r="F1876" t="inlineStr">
        <is>
          <t>Wireless Mouse</t>
        </is>
      </c>
      <c r="G1876" t="inlineStr">
        <is>
          <t>Second Class</t>
        </is>
      </c>
      <c r="H1876" t="n">
        <v>7</v>
      </c>
      <c r="I1876" s="11" t="n">
        <v>52.91</v>
      </c>
      <c r="J1876" s="12" t="n">
        <v>0</v>
      </c>
      <c r="K1876" s="11" t="n">
        <v>370.37</v>
      </c>
      <c r="L1876" s="11" t="n">
        <v>117.49</v>
      </c>
      <c r="M1876" s="12" t="n">
        <v>0.3172</v>
      </c>
    </row>
    <row r="1877">
      <c r="A1877" t="inlineStr">
        <is>
          <t>ORD-11447</t>
        </is>
      </c>
      <c r="B1877" s="10" t="inlineStr">
        <is>
          <t>2025-11-10</t>
        </is>
      </c>
      <c r="C1877" t="inlineStr">
        <is>
          <t>Customer 101</t>
        </is>
      </c>
      <c r="D1877" t="inlineStr">
        <is>
          <t>West</t>
        </is>
      </c>
      <c r="E1877" t="inlineStr">
        <is>
          <t>Furniture</t>
        </is>
      </c>
      <c r="F1877" t="inlineStr">
        <is>
          <t>Desk</t>
        </is>
      </c>
      <c r="G1877" t="inlineStr">
        <is>
          <t>Same Day</t>
        </is>
      </c>
      <c r="H1877" t="n">
        <v>8</v>
      </c>
      <c r="I1877" s="11" t="n">
        <v>765.65</v>
      </c>
      <c r="J1877" s="12" t="n">
        <v>0</v>
      </c>
      <c r="K1877" s="11" t="n">
        <v>6125.2</v>
      </c>
      <c r="L1877" s="11" t="n">
        <v>2619.46</v>
      </c>
      <c r="M1877" s="12" t="n">
        <v>0.4277</v>
      </c>
    </row>
    <row r="1878">
      <c r="A1878" t="inlineStr">
        <is>
          <t>ORD-11112</t>
        </is>
      </c>
      <c r="B1878" s="10" t="inlineStr">
        <is>
          <t>2025-11-10</t>
        </is>
      </c>
      <c r="C1878" t="inlineStr">
        <is>
          <t>Customer 148</t>
        </is>
      </c>
      <c r="D1878" t="inlineStr">
        <is>
          <t>North</t>
        </is>
      </c>
      <c r="E1878" t="inlineStr">
        <is>
          <t>Technology</t>
        </is>
      </c>
      <c r="F1878" t="inlineStr">
        <is>
          <t>Monitor</t>
        </is>
      </c>
      <c r="G1878" t="inlineStr">
        <is>
          <t>Second Class</t>
        </is>
      </c>
      <c r="H1878" t="n">
        <v>11</v>
      </c>
      <c r="I1878" s="11" t="n">
        <v>878.2</v>
      </c>
      <c r="J1878" s="12" t="n">
        <v>0</v>
      </c>
      <c r="K1878" s="11" t="n">
        <v>9660.200000000001</v>
      </c>
      <c r="L1878" s="11" t="n">
        <v>1557.07</v>
      </c>
      <c r="M1878" s="12" t="n">
        <v>0.1612</v>
      </c>
    </row>
    <row r="1879">
      <c r="A1879" t="inlineStr">
        <is>
          <t>ORD-10872</t>
        </is>
      </c>
      <c r="B1879" s="10" t="inlineStr">
        <is>
          <t>2025-11-11</t>
        </is>
      </c>
      <c r="C1879" t="inlineStr">
        <is>
          <t>Customer 129</t>
        </is>
      </c>
      <c r="D1879" t="inlineStr">
        <is>
          <t>East</t>
        </is>
      </c>
      <c r="E1879" t="inlineStr">
        <is>
          <t>Technology</t>
        </is>
      </c>
      <c r="F1879" t="inlineStr">
        <is>
          <t>Printer</t>
        </is>
      </c>
      <c r="G1879" t="inlineStr">
        <is>
          <t>First Class</t>
        </is>
      </c>
      <c r="H1879" t="n">
        <v>4</v>
      </c>
      <c r="I1879" s="11" t="n">
        <v>566.64</v>
      </c>
      <c r="J1879" s="12" t="n">
        <v>0</v>
      </c>
      <c r="K1879" s="11" t="n">
        <v>2266.56</v>
      </c>
      <c r="L1879" s="11" t="n">
        <v>848.96</v>
      </c>
      <c r="M1879" s="12" t="n">
        <v>0.3746</v>
      </c>
    </row>
    <row r="1880">
      <c r="A1880" t="inlineStr">
        <is>
          <t>ORD-10356</t>
        </is>
      </c>
      <c r="B1880" s="10" t="inlineStr">
        <is>
          <t>2025-11-11</t>
        </is>
      </c>
      <c r="C1880" t="inlineStr">
        <is>
          <t>Customer 155</t>
        </is>
      </c>
      <c r="D1880" t="inlineStr">
        <is>
          <t>South</t>
        </is>
      </c>
      <c r="E1880" t="inlineStr">
        <is>
          <t>Office Supplies</t>
        </is>
      </c>
      <c r="F1880" t="inlineStr">
        <is>
          <t>Binder</t>
        </is>
      </c>
      <c r="G1880" t="inlineStr">
        <is>
          <t>First Class</t>
        </is>
      </c>
      <c r="H1880" t="n">
        <v>6</v>
      </c>
      <c r="I1880" s="11" t="n">
        <v>819.87</v>
      </c>
      <c r="J1880" s="12" t="n">
        <v>0.3</v>
      </c>
      <c r="K1880" s="11" t="n">
        <v>3443.45</v>
      </c>
      <c r="L1880" s="11" t="n">
        <v>266.03</v>
      </c>
      <c r="M1880" s="12" t="n">
        <v>0.07729999999999999</v>
      </c>
    </row>
    <row r="1881">
      <c r="A1881" t="inlineStr">
        <is>
          <t>ORD-10872</t>
        </is>
      </c>
      <c r="B1881" s="10" t="inlineStr">
        <is>
          <t>2025-11-11</t>
        </is>
      </c>
      <c r="C1881" t="inlineStr">
        <is>
          <t>Customer 129</t>
        </is>
      </c>
      <c r="D1881" t="inlineStr">
        <is>
          <t>East</t>
        </is>
      </c>
      <c r="E1881" t="inlineStr">
        <is>
          <t>Technology</t>
        </is>
      </c>
      <c r="F1881" t="inlineStr">
        <is>
          <t>Printer</t>
        </is>
      </c>
      <c r="G1881" t="inlineStr">
        <is>
          <t>First Class</t>
        </is>
      </c>
      <c r="H1881" t="n">
        <v>4</v>
      </c>
      <c r="I1881" s="11" t="n">
        <v>566.64</v>
      </c>
      <c r="J1881" s="12" t="n">
        <v>0</v>
      </c>
      <c r="K1881" s="11" t="n">
        <v>2266.56</v>
      </c>
      <c r="L1881" s="11" t="n">
        <v>848.96</v>
      </c>
      <c r="M1881" s="12" t="n">
        <v>0.3746</v>
      </c>
    </row>
    <row r="1882">
      <c r="A1882" t="inlineStr">
        <is>
          <t>ORD-11106</t>
        </is>
      </c>
      <c r="B1882" s="10" t="inlineStr">
        <is>
          <t>2025-11-11</t>
        </is>
      </c>
      <c r="C1882" t="inlineStr">
        <is>
          <t>Customer 99</t>
        </is>
      </c>
      <c r="D1882" t="inlineStr">
        <is>
          <t>East</t>
        </is>
      </c>
      <c r="E1882" t="inlineStr">
        <is>
          <t>Office Supplies</t>
        </is>
      </c>
      <c r="F1882" t="inlineStr">
        <is>
          <t>Paper</t>
        </is>
      </c>
      <c r="G1882" t="inlineStr">
        <is>
          <t>First Class</t>
        </is>
      </c>
      <c r="H1882" t="n">
        <v>2</v>
      </c>
      <c r="I1882" s="11" t="n">
        <v>1096.68</v>
      </c>
      <c r="J1882" s="12" t="n">
        <v>0.1</v>
      </c>
      <c r="K1882" s="11" t="n">
        <v>1974.02</v>
      </c>
      <c r="L1882" s="11" t="n">
        <v>787.74</v>
      </c>
      <c r="M1882" s="12" t="n">
        <v>0.3991</v>
      </c>
    </row>
    <row r="1883">
      <c r="A1883" t="inlineStr">
        <is>
          <t>ORD-11938</t>
        </is>
      </c>
      <c r="B1883" s="10" t="inlineStr">
        <is>
          <t>2025-11-12</t>
        </is>
      </c>
      <c r="C1883" t="inlineStr">
        <is>
          <t>Customer 59</t>
        </is>
      </c>
      <c r="D1883" t="inlineStr">
        <is>
          <t>East</t>
        </is>
      </c>
      <c r="E1883" t="inlineStr">
        <is>
          <t>Office Supplies</t>
        </is>
      </c>
      <c r="F1883" t="inlineStr">
        <is>
          <t>Stapler</t>
        </is>
      </c>
      <c r="G1883" t="inlineStr">
        <is>
          <t>First Class</t>
        </is>
      </c>
      <c r="H1883" t="n">
        <v>3</v>
      </c>
      <c r="I1883" s="11" t="n">
        <v>353.16</v>
      </c>
      <c r="J1883" s="12" t="n">
        <v>0</v>
      </c>
      <c r="K1883" s="11" t="n">
        <v>1059.48</v>
      </c>
      <c r="L1883" s="11" t="n">
        <v>230.56</v>
      </c>
      <c r="M1883" s="12" t="n">
        <v>0.2176</v>
      </c>
    </row>
    <row r="1884">
      <c r="A1884" t="inlineStr">
        <is>
          <t>ORD-11584</t>
        </is>
      </c>
      <c r="B1884" s="10" t="inlineStr">
        <is>
          <t>2025-11-12</t>
        </is>
      </c>
      <c r="C1884" t="inlineStr">
        <is>
          <t>Customer 92</t>
        </is>
      </c>
      <c r="D1884" t="inlineStr">
        <is>
          <t>West</t>
        </is>
      </c>
      <c r="E1884" t="inlineStr">
        <is>
          <t>Technology</t>
        </is>
      </c>
      <c r="F1884" t="inlineStr">
        <is>
          <t>Printer</t>
        </is>
      </c>
      <c r="G1884" t="inlineStr">
        <is>
          <t>Second Class</t>
        </is>
      </c>
      <c r="H1884" t="n">
        <v>10</v>
      </c>
      <c r="I1884" s="11" t="n">
        <v>693.66</v>
      </c>
      <c r="J1884" s="12" t="n">
        <v>0</v>
      </c>
      <c r="K1884" s="11" t="n">
        <v>6936.6</v>
      </c>
      <c r="L1884" s="11" t="n">
        <v>1898.28</v>
      </c>
      <c r="M1884" s="12" t="n">
        <v>0.2737</v>
      </c>
    </row>
    <row r="1885">
      <c r="A1885" t="inlineStr">
        <is>
          <t>ORD-11901</t>
        </is>
      </c>
      <c r="B1885" s="10" t="inlineStr">
        <is>
          <t>2025-11-13</t>
        </is>
      </c>
      <c r="C1885" t="inlineStr">
        <is>
          <t>Customer 188</t>
        </is>
      </c>
      <c r="D1885" t="inlineStr">
        <is>
          <t>South</t>
        </is>
      </c>
      <c r="E1885" t="inlineStr">
        <is>
          <t>Furniture</t>
        </is>
      </c>
      <c r="F1885" t="inlineStr">
        <is>
          <t>Desk</t>
        </is>
      </c>
      <c r="G1885" t="inlineStr">
        <is>
          <t>Standard Class</t>
        </is>
      </c>
      <c r="H1885" t="n">
        <v>10</v>
      </c>
      <c r="I1885" s="11" t="n">
        <v>830.74</v>
      </c>
      <c r="J1885" s="12" t="n">
        <v>0.1</v>
      </c>
      <c r="K1885" s="11" t="n">
        <v>7476.66</v>
      </c>
      <c r="L1885" s="11" t="n">
        <v>1787.51</v>
      </c>
      <c r="M1885" s="12" t="n">
        <v>0.2391</v>
      </c>
    </row>
    <row r="1886">
      <c r="A1886" t="inlineStr">
        <is>
          <t>ORD-10869</t>
        </is>
      </c>
      <c r="B1886" s="10" t="inlineStr">
        <is>
          <t>2025-11-13</t>
        </is>
      </c>
      <c r="C1886" t="inlineStr">
        <is>
          <t>Customer 57</t>
        </is>
      </c>
      <c r="D1886" t="inlineStr">
        <is>
          <t>East</t>
        </is>
      </c>
      <c r="E1886" t="inlineStr">
        <is>
          <t>Office Supplies</t>
        </is>
      </c>
      <c r="F1886" t="inlineStr">
        <is>
          <t>Binder</t>
        </is>
      </c>
      <c r="G1886" t="inlineStr">
        <is>
          <t>Standard Class</t>
        </is>
      </c>
      <c r="H1886" t="n">
        <v>6</v>
      </c>
      <c r="I1886" s="11" t="n">
        <v>817.67</v>
      </c>
      <c r="J1886" s="12" t="n">
        <v>0</v>
      </c>
      <c r="K1886" s="11" t="n">
        <v>8176.7</v>
      </c>
      <c r="L1886" s="11" t="n">
        <v>3564.23</v>
      </c>
      <c r="M1886" s="12" t="n">
        <v>0.4359</v>
      </c>
    </row>
    <row r="1887">
      <c r="A1887" t="inlineStr">
        <is>
          <t>ORD-11526</t>
        </is>
      </c>
      <c r="B1887" s="10" t="inlineStr">
        <is>
          <t>2025-11-13</t>
        </is>
      </c>
      <c r="C1887" t="inlineStr">
        <is>
          <t>Customer 25</t>
        </is>
      </c>
      <c r="D1887" t="inlineStr">
        <is>
          <t>West</t>
        </is>
      </c>
      <c r="E1887" t="inlineStr">
        <is>
          <t>Furniture</t>
        </is>
      </c>
      <c r="F1887" t="inlineStr">
        <is>
          <t>Chair</t>
        </is>
      </c>
      <c r="G1887" t="inlineStr">
        <is>
          <t>Second Class</t>
        </is>
      </c>
      <c r="H1887" t="n">
        <v>4</v>
      </c>
      <c r="I1887" s="11" t="n">
        <v>128.28</v>
      </c>
      <c r="J1887" s="12" t="n">
        <v>0</v>
      </c>
      <c r="K1887" s="11" t="n">
        <v>513.12</v>
      </c>
      <c r="L1887" s="11" t="n">
        <v>114.26</v>
      </c>
      <c r="M1887" s="12" t="n">
        <v>0.2227</v>
      </c>
    </row>
    <row r="1888">
      <c r="A1888" t="inlineStr">
        <is>
          <t>ORD-11487</t>
        </is>
      </c>
      <c r="B1888" s="10" t="inlineStr">
        <is>
          <t>2025-11-13</t>
        </is>
      </c>
      <c r="C1888" t="inlineStr">
        <is>
          <t>Customer 185</t>
        </is>
      </c>
      <c r="D1888" t="inlineStr">
        <is>
          <t>South</t>
        </is>
      </c>
      <c r="E1888" t="inlineStr">
        <is>
          <t>Furniture</t>
        </is>
      </c>
      <c r="F1888" t="inlineStr">
        <is>
          <t>Bookcase</t>
        </is>
      </c>
      <c r="G1888" t="inlineStr">
        <is>
          <t>Standard Class</t>
        </is>
      </c>
      <c r="H1888" t="n">
        <v>10</v>
      </c>
      <c r="I1888" s="11" t="n">
        <v>50.04</v>
      </c>
      <c r="J1888" s="12" t="n">
        <v>0.1</v>
      </c>
      <c r="K1888" s="11" t="n">
        <v>450.36</v>
      </c>
      <c r="L1888" s="11" t="n">
        <v>149.03</v>
      </c>
      <c r="M1888" s="12" t="n">
        <v>0.3309</v>
      </c>
    </row>
    <row r="1889">
      <c r="A1889" t="inlineStr">
        <is>
          <t>ORD-11767</t>
        </is>
      </c>
      <c r="B1889" s="10" t="inlineStr">
        <is>
          <t>2025-11-14</t>
        </is>
      </c>
      <c r="C1889" t="inlineStr">
        <is>
          <t>Customer 4</t>
        </is>
      </c>
      <c r="D1889" t="inlineStr">
        <is>
          <t>South</t>
        </is>
      </c>
      <c r="E1889" t="inlineStr">
        <is>
          <t>Technology</t>
        </is>
      </c>
      <c r="F1889" t="inlineStr">
        <is>
          <t>Monitor</t>
        </is>
      </c>
      <c r="G1889" t="inlineStr">
        <is>
          <t>Standard Class</t>
        </is>
      </c>
      <c r="H1889" t="n">
        <v>6</v>
      </c>
      <c r="I1889" s="11" t="n">
        <v>917.46</v>
      </c>
      <c r="J1889" s="12" t="n">
        <v>0</v>
      </c>
      <c r="K1889" s="11" t="n">
        <v>5504.76</v>
      </c>
      <c r="L1889" s="11" t="n">
        <v>2014.94</v>
      </c>
      <c r="M1889" s="12" t="n">
        <v>0.366</v>
      </c>
    </row>
    <row r="1890">
      <c r="A1890" t="inlineStr">
        <is>
          <t>ORD-11715</t>
        </is>
      </c>
      <c r="B1890" s="10" t="inlineStr">
        <is>
          <t>2025-11-14</t>
        </is>
      </c>
      <c r="C1890" t="inlineStr">
        <is>
          <t>Customer 33</t>
        </is>
      </c>
      <c r="D1890" t="inlineStr">
        <is>
          <t>North</t>
        </is>
      </c>
      <c r="E1890" t="inlineStr">
        <is>
          <t>Furniture</t>
        </is>
      </c>
      <c r="F1890" t="inlineStr">
        <is>
          <t>Bookcase</t>
        </is>
      </c>
      <c r="G1890" t="inlineStr">
        <is>
          <t>Same Day</t>
        </is>
      </c>
      <c r="H1890" t="n">
        <v>6</v>
      </c>
      <c r="I1890" s="11" t="n">
        <v>775.87</v>
      </c>
      <c r="J1890" s="12" t="n">
        <v>0.15</v>
      </c>
      <c r="K1890" s="11" t="n">
        <v>3956.94</v>
      </c>
      <c r="L1890" s="11" t="n">
        <v>874.77</v>
      </c>
      <c r="M1890" s="12" t="n">
        <v>0.2211</v>
      </c>
    </row>
    <row r="1891">
      <c r="A1891" t="inlineStr">
        <is>
          <t>ORD-10012</t>
        </is>
      </c>
      <c r="B1891" s="10" t="inlineStr">
        <is>
          <t>2025-11-14</t>
        </is>
      </c>
      <c r="C1891" t="inlineStr">
        <is>
          <t>Customer 8</t>
        </is>
      </c>
      <c r="D1891" t="inlineStr">
        <is>
          <t>East</t>
        </is>
      </c>
      <c r="E1891" t="inlineStr">
        <is>
          <t>Office Supplies</t>
        </is>
      </c>
      <c r="F1891" t="inlineStr">
        <is>
          <t>Binder</t>
        </is>
      </c>
      <c r="G1891" t="inlineStr">
        <is>
          <t>Same Day</t>
        </is>
      </c>
      <c r="H1891" t="n">
        <v>11</v>
      </c>
      <c r="I1891" s="11" t="n">
        <v>201.71</v>
      </c>
      <c r="J1891" s="12" t="n">
        <v>0</v>
      </c>
      <c r="K1891" s="11" t="n">
        <v>2218.81</v>
      </c>
      <c r="L1891" s="11" t="n">
        <v>771.52</v>
      </c>
      <c r="M1891" s="12" t="n">
        <v>0.3477</v>
      </c>
    </row>
    <row r="1892">
      <c r="A1892" t="inlineStr">
        <is>
          <t>ORD-10571</t>
        </is>
      </c>
      <c r="B1892" s="10" t="inlineStr">
        <is>
          <t>2025-11-14</t>
        </is>
      </c>
      <c r="C1892" t="inlineStr">
        <is>
          <t>Customer 22</t>
        </is>
      </c>
      <c r="D1892" t="inlineStr">
        <is>
          <t>South</t>
        </is>
      </c>
      <c r="E1892" t="inlineStr">
        <is>
          <t>Furniture</t>
        </is>
      </c>
      <c r="F1892" t="inlineStr">
        <is>
          <t>Desk</t>
        </is>
      </c>
      <c r="G1892" t="inlineStr">
        <is>
          <t>Same Day</t>
        </is>
      </c>
      <c r="H1892" t="n">
        <v>8</v>
      </c>
      <c r="I1892" s="11" t="n">
        <v>757.35</v>
      </c>
      <c r="J1892" s="12" t="n">
        <v>0.2</v>
      </c>
      <c r="K1892" s="11" t="n">
        <v>4847.04</v>
      </c>
      <c r="L1892" s="11" t="n">
        <v>125.06</v>
      </c>
      <c r="M1892" s="12" t="n">
        <v>0.0258</v>
      </c>
    </row>
    <row r="1893">
      <c r="A1893" t="inlineStr">
        <is>
          <t>ORD-10733</t>
        </is>
      </c>
      <c r="B1893" s="10" t="inlineStr">
        <is>
          <t>2025-11-14</t>
        </is>
      </c>
      <c r="C1893" t="inlineStr">
        <is>
          <t>Customer 16</t>
        </is>
      </c>
      <c r="D1893" t="inlineStr">
        <is>
          <t>West</t>
        </is>
      </c>
      <c r="E1893" t="inlineStr">
        <is>
          <t>Furniture</t>
        </is>
      </c>
      <c r="F1893" t="inlineStr">
        <is>
          <t>Bookcase</t>
        </is>
      </c>
      <c r="G1893" t="inlineStr">
        <is>
          <t>Same Day</t>
        </is>
      </c>
      <c r="H1893" t="n">
        <v>4</v>
      </c>
      <c r="I1893" s="11" t="n">
        <v>608.95</v>
      </c>
      <c r="J1893" s="12" t="n">
        <v>0.15</v>
      </c>
      <c r="K1893" s="11" t="n">
        <v>2070.43</v>
      </c>
      <c r="L1893" s="11" t="n">
        <v>621.12</v>
      </c>
      <c r="M1893" s="12" t="n">
        <v>0.3</v>
      </c>
    </row>
    <row r="1894">
      <c r="A1894" t="inlineStr">
        <is>
          <t>ORD-10772</t>
        </is>
      </c>
      <c r="B1894" s="10" t="inlineStr">
        <is>
          <t>2025-11-14</t>
        </is>
      </c>
      <c r="C1894" t="inlineStr">
        <is>
          <t>Customer 150</t>
        </is>
      </c>
      <c r="D1894" t="inlineStr">
        <is>
          <t>North</t>
        </is>
      </c>
      <c r="E1894" t="inlineStr">
        <is>
          <t>Office Supplies</t>
        </is>
      </c>
      <c r="F1894" t="inlineStr">
        <is>
          <t>Pens (Box)</t>
        </is>
      </c>
      <c r="G1894" t="inlineStr">
        <is>
          <t>Same Day</t>
        </is>
      </c>
      <c r="H1894" t="n">
        <v>4</v>
      </c>
      <c r="I1894" s="11" t="n">
        <v>144.46</v>
      </c>
      <c r="J1894" s="12" t="n">
        <v>0.2</v>
      </c>
      <c r="K1894" s="11" t="n">
        <v>462.27</v>
      </c>
      <c r="L1894" s="11" t="n">
        <v>51.71</v>
      </c>
      <c r="M1894" s="12" t="n">
        <v>0.1119</v>
      </c>
    </row>
    <row r="1895">
      <c r="A1895" t="inlineStr">
        <is>
          <t>ORD-11395</t>
        </is>
      </c>
      <c r="B1895" s="10" t="inlineStr">
        <is>
          <t>2025-11-14</t>
        </is>
      </c>
      <c r="C1895" t="inlineStr">
        <is>
          <t>Customer 32</t>
        </is>
      </c>
      <c r="D1895" t="inlineStr">
        <is>
          <t>North</t>
        </is>
      </c>
      <c r="E1895" t="inlineStr">
        <is>
          <t>Office Supplies</t>
        </is>
      </c>
      <c r="F1895" t="inlineStr">
        <is>
          <t>Paper</t>
        </is>
      </c>
      <c r="G1895" t="inlineStr">
        <is>
          <t>Second Class</t>
        </is>
      </c>
      <c r="H1895" t="n">
        <v>8</v>
      </c>
      <c r="I1895" s="11" t="n">
        <v>696.08</v>
      </c>
      <c r="J1895" s="12" t="n">
        <v>0</v>
      </c>
      <c r="K1895" s="11" t="n">
        <v>5568.64</v>
      </c>
      <c r="L1895" s="11" t="n">
        <v>2010.03</v>
      </c>
      <c r="M1895" s="12" t="n">
        <v>0.361</v>
      </c>
    </row>
    <row r="1896">
      <c r="A1896" t="inlineStr">
        <is>
          <t>ORD-10044</t>
        </is>
      </c>
      <c r="B1896" s="10" t="inlineStr">
        <is>
          <t>2025-11-14</t>
        </is>
      </c>
      <c r="C1896" t="inlineStr">
        <is>
          <t>Customer 129</t>
        </is>
      </c>
      <c r="D1896" t="inlineStr">
        <is>
          <t>East</t>
        </is>
      </c>
      <c r="E1896" t="inlineStr">
        <is>
          <t>Furniture</t>
        </is>
      </c>
      <c r="F1896" t="inlineStr">
        <is>
          <t>Bookcase</t>
        </is>
      </c>
      <c r="G1896" t="inlineStr">
        <is>
          <t>Same Day</t>
        </is>
      </c>
      <c r="H1896" t="n">
        <v>11</v>
      </c>
      <c r="I1896" s="11" t="n">
        <v>937.46</v>
      </c>
      <c r="J1896" s="12" t="n">
        <v>0</v>
      </c>
      <c r="K1896" s="11" t="n">
        <v>10312.06</v>
      </c>
      <c r="L1896" s="11" t="n">
        <v>3797.67</v>
      </c>
      <c r="M1896" s="12" t="n">
        <v>0.3683</v>
      </c>
    </row>
    <row r="1897">
      <c r="A1897" t="inlineStr">
        <is>
          <t>ORD-10324</t>
        </is>
      </c>
      <c r="B1897" s="10" t="inlineStr">
        <is>
          <t>2025-11-15</t>
        </is>
      </c>
      <c r="C1897" t="inlineStr">
        <is>
          <t>Customer 1</t>
        </is>
      </c>
      <c r="D1897" t="inlineStr">
        <is>
          <t>North</t>
        </is>
      </c>
      <c r="E1897" t="inlineStr">
        <is>
          <t>Technology</t>
        </is>
      </c>
      <c r="F1897" t="inlineStr">
        <is>
          <t>Laptop</t>
        </is>
      </c>
      <c r="G1897" t="inlineStr">
        <is>
          <t>First Class</t>
        </is>
      </c>
      <c r="H1897" t="n">
        <v>5</v>
      </c>
      <c r="I1897" s="11" t="n">
        <v>1074.2</v>
      </c>
      <c r="J1897" s="12" t="n">
        <v>0</v>
      </c>
      <c r="K1897" s="11" t="n">
        <v>5371</v>
      </c>
      <c r="L1897" s="11" t="n">
        <v>2077.81</v>
      </c>
      <c r="M1897" s="12" t="n">
        <v>0.3869</v>
      </c>
    </row>
    <row r="1898">
      <c r="A1898" t="inlineStr">
        <is>
          <t>ORD-11399</t>
        </is>
      </c>
      <c r="B1898" s="10" t="inlineStr">
        <is>
          <t>2025-11-15</t>
        </is>
      </c>
      <c r="C1898" t="inlineStr">
        <is>
          <t>Customer 112</t>
        </is>
      </c>
      <c r="D1898" t="inlineStr">
        <is>
          <t>West</t>
        </is>
      </c>
      <c r="E1898" t="inlineStr">
        <is>
          <t>Technology</t>
        </is>
      </c>
      <c r="F1898" t="inlineStr">
        <is>
          <t>Monitor</t>
        </is>
      </c>
      <c r="G1898" t="inlineStr">
        <is>
          <t>First Class</t>
        </is>
      </c>
      <c r="H1898" t="n">
        <v>9</v>
      </c>
      <c r="I1898" s="11" t="n">
        <v>792.61</v>
      </c>
      <c r="J1898" s="12" t="n">
        <v>0</v>
      </c>
      <c r="K1898" s="11" t="n">
        <v>7133.49</v>
      </c>
      <c r="L1898" s="11" t="n">
        <v>2836.34</v>
      </c>
      <c r="M1898" s="12" t="n">
        <v>0.3976</v>
      </c>
    </row>
    <row r="1899">
      <c r="A1899" t="inlineStr">
        <is>
          <t>ORD-11811</t>
        </is>
      </c>
      <c r="B1899" s="10" t="inlineStr">
        <is>
          <t>2025-11-15</t>
        </is>
      </c>
      <c r="C1899" t="inlineStr">
        <is>
          <t>Customer 144</t>
        </is>
      </c>
      <c r="D1899" t="inlineStr">
        <is>
          <t>South</t>
        </is>
      </c>
      <c r="E1899" t="inlineStr">
        <is>
          <t>Technology</t>
        </is>
      </c>
      <c r="F1899" t="inlineStr">
        <is>
          <t>Wireless Mouse</t>
        </is>
      </c>
      <c r="G1899" t="inlineStr">
        <is>
          <t>Standard Class</t>
        </is>
      </c>
      <c r="H1899" t="n">
        <v>4</v>
      </c>
      <c r="I1899" s="11" t="n">
        <v>942.3099999999999</v>
      </c>
      <c r="J1899" s="12" t="n">
        <v>0</v>
      </c>
      <c r="K1899" s="11" t="n">
        <v>3769.24</v>
      </c>
      <c r="L1899" s="11" t="n">
        <v>1598.78</v>
      </c>
      <c r="M1899" s="12" t="n">
        <v>0.4242</v>
      </c>
    </row>
    <row r="1900">
      <c r="A1900" t="inlineStr">
        <is>
          <t>ORD-10377</t>
        </is>
      </c>
      <c r="B1900" s="10" t="inlineStr">
        <is>
          <t>2025-11-15</t>
        </is>
      </c>
      <c r="C1900" t="inlineStr">
        <is>
          <t>Customer 140</t>
        </is>
      </c>
      <c r="D1900" t="inlineStr">
        <is>
          <t>South</t>
        </is>
      </c>
      <c r="E1900" t="inlineStr">
        <is>
          <t>Technology</t>
        </is>
      </c>
      <c r="F1900" t="inlineStr">
        <is>
          <t>Wireless Mouse</t>
        </is>
      </c>
      <c r="G1900" t="inlineStr">
        <is>
          <t>First Class</t>
        </is>
      </c>
      <c r="H1900" t="n">
        <v>5</v>
      </c>
      <c r="I1900" s="11" t="n">
        <v>1164.07</v>
      </c>
      <c r="J1900" s="12" t="n">
        <v>0</v>
      </c>
      <c r="K1900" s="11" t="n">
        <v>5820.35</v>
      </c>
      <c r="L1900" s="11" t="n">
        <v>2258.98</v>
      </c>
      <c r="M1900" s="12" t="n">
        <v>0.3881</v>
      </c>
    </row>
    <row r="1901">
      <c r="A1901" t="inlineStr">
        <is>
          <t>ORD-11529</t>
        </is>
      </c>
      <c r="B1901" s="10" t="inlineStr">
        <is>
          <t>2025-11-16</t>
        </is>
      </c>
      <c r="C1901" t="inlineStr">
        <is>
          <t>Customer 144</t>
        </is>
      </c>
      <c r="D1901" t="inlineStr">
        <is>
          <t>South</t>
        </is>
      </c>
      <c r="E1901" t="inlineStr">
        <is>
          <t>Office Supplies</t>
        </is>
      </c>
      <c r="F1901" t="inlineStr">
        <is>
          <t>Pens (Box)</t>
        </is>
      </c>
      <c r="G1901" t="inlineStr">
        <is>
          <t>First Class</t>
        </is>
      </c>
      <c r="H1901" t="n">
        <v>2</v>
      </c>
      <c r="I1901" s="11" t="n">
        <v>1199.36</v>
      </c>
      <c r="J1901" s="12" t="n">
        <v>0.2</v>
      </c>
      <c r="K1901" s="11" t="n">
        <v>1918.98</v>
      </c>
      <c r="L1901" s="11" t="n">
        <v>-33.12</v>
      </c>
      <c r="M1901" s="12" t="n">
        <v>-0.0173</v>
      </c>
    </row>
    <row r="1902">
      <c r="A1902" t="inlineStr">
        <is>
          <t>ORD-10705</t>
        </is>
      </c>
      <c r="B1902" s="10" t="inlineStr">
        <is>
          <t>2025-11-16</t>
        </is>
      </c>
      <c r="C1902" t="inlineStr">
        <is>
          <t>Customer 179</t>
        </is>
      </c>
      <c r="D1902" t="inlineStr">
        <is>
          <t>West</t>
        </is>
      </c>
      <c r="E1902" t="inlineStr">
        <is>
          <t>Furniture</t>
        </is>
      </c>
      <c r="F1902" t="inlineStr">
        <is>
          <t>Desk</t>
        </is>
      </c>
      <c r="G1902" t="inlineStr">
        <is>
          <t>Second Class</t>
        </is>
      </c>
      <c r="H1902" t="n">
        <v>2</v>
      </c>
      <c r="I1902" s="11" t="n">
        <v>97.67</v>
      </c>
      <c r="J1902" s="12" t="n">
        <v>0.15</v>
      </c>
      <c r="K1902" s="11" t="n">
        <v>166.04</v>
      </c>
      <c r="L1902" s="11" t="n">
        <v>3.82</v>
      </c>
      <c r="M1902" s="12" t="n">
        <v>0.023</v>
      </c>
    </row>
    <row r="1903">
      <c r="A1903" t="inlineStr">
        <is>
          <t>ORD-11226</t>
        </is>
      </c>
      <c r="B1903" s="10" t="inlineStr">
        <is>
          <t>2025-11-16</t>
        </is>
      </c>
      <c r="C1903" t="inlineStr">
        <is>
          <t>Customer 27</t>
        </is>
      </c>
      <c r="D1903" t="inlineStr">
        <is>
          <t>South</t>
        </is>
      </c>
      <c r="E1903" t="inlineStr">
        <is>
          <t>Technology</t>
        </is>
      </c>
      <c r="F1903" t="inlineStr">
        <is>
          <t>Wireless Mouse</t>
        </is>
      </c>
      <c r="G1903" t="inlineStr">
        <is>
          <t>Standard Class</t>
        </is>
      </c>
      <c r="H1903" t="n">
        <v>5</v>
      </c>
      <c r="I1903" s="11" t="n">
        <v>192.13</v>
      </c>
      <c r="J1903" s="12" t="n">
        <v>0</v>
      </c>
      <c r="K1903" s="11" t="n">
        <v>960.65</v>
      </c>
      <c r="L1903" s="11" t="n">
        <v>341.48</v>
      </c>
      <c r="M1903" s="12" t="n">
        <v>0.3555</v>
      </c>
    </row>
    <row r="1904">
      <c r="A1904" t="inlineStr">
        <is>
          <t>ORD-11159</t>
        </is>
      </c>
      <c r="B1904" s="10" t="inlineStr">
        <is>
          <t>2025-11-16</t>
        </is>
      </c>
      <c r="C1904" t="inlineStr">
        <is>
          <t>Customer 134</t>
        </is>
      </c>
      <c r="D1904" t="inlineStr">
        <is>
          <t>East</t>
        </is>
      </c>
      <c r="E1904" t="inlineStr">
        <is>
          <t>Office Supplies</t>
        </is>
      </c>
      <c r="F1904" t="inlineStr">
        <is>
          <t>Pens (Box)</t>
        </is>
      </c>
      <c r="G1904" t="inlineStr">
        <is>
          <t>First Class</t>
        </is>
      </c>
      <c r="H1904" t="n">
        <v>1</v>
      </c>
      <c r="I1904" s="11" t="n">
        <v>1006.78</v>
      </c>
      <c r="J1904" s="12" t="n">
        <v>0</v>
      </c>
      <c r="K1904" s="11" t="n">
        <v>1006.78</v>
      </c>
      <c r="L1904" s="11" t="n">
        <v>256.04</v>
      </c>
      <c r="M1904" s="12" t="n">
        <v>0.2543</v>
      </c>
    </row>
    <row r="1905">
      <c r="A1905" t="inlineStr">
        <is>
          <t>ORD-10475</t>
        </is>
      </c>
      <c r="B1905" s="10" t="inlineStr">
        <is>
          <t>2025-11-16</t>
        </is>
      </c>
      <c r="C1905" t="inlineStr">
        <is>
          <t>Customer 183</t>
        </is>
      </c>
      <c r="D1905" t="inlineStr">
        <is>
          <t>South</t>
        </is>
      </c>
      <c r="E1905" t="inlineStr">
        <is>
          <t>Furniture</t>
        </is>
      </c>
      <c r="F1905" t="inlineStr">
        <is>
          <t>Table Lamp</t>
        </is>
      </c>
      <c r="G1905" t="inlineStr">
        <is>
          <t>Standard Class</t>
        </is>
      </c>
      <c r="H1905" t="n">
        <v>6</v>
      </c>
      <c r="I1905" s="11" t="n">
        <v>212.66</v>
      </c>
      <c r="J1905" s="12" t="n">
        <v>0</v>
      </c>
      <c r="K1905" s="11" t="n">
        <v>1275.96</v>
      </c>
      <c r="L1905" s="11" t="n">
        <v>602.01</v>
      </c>
      <c r="M1905" s="12" t="n">
        <v>0.4718</v>
      </c>
    </row>
    <row r="1906">
      <c r="A1906" t="inlineStr">
        <is>
          <t>ORD-11585</t>
        </is>
      </c>
      <c r="B1906" s="10" t="inlineStr">
        <is>
          <t>2025-11-16</t>
        </is>
      </c>
      <c r="C1906" t="inlineStr">
        <is>
          <t>Customer 131</t>
        </is>
      </c>
      <c r="D1906" t="inlineStr">
        <is>
          <t>East</t>
        </is>
      </c>
      <c r="E1906" t="inlineStr">
        <is>
          <t>Furniture</t>
        </is>
      </c>
      <c r="F1906" t="inlineStr">
        <is>
          <t>Desk</t>
        </is>
      </c>
      <c r="G1906" t="inlineStr">
        <is>
          <t>First Class</t>
        </is>
      </c>
      <c r="H1906" t="n">
        <v>5</v>
      </c>
      <c r="I1906" s="11" t="n">
        <v>1080.8</v>
      </c>
      <c r="J1906" s="12" t="n">
        <v>0.15</v>
      </c>
      <c r="K1906" s="11" t="n">
        <v>4593.4</v>
      </c>
      <c r="L1906" s="11" t="n">
        <v>137.27</v>
      </c>
      <c r="M1906" s="12" t="n">
        <v>0.0299</v>
      </c>
    </row>
    <row r="1907">
      <c r="A1907" t="inlineStr">
        <is>
          <t>ORD-11773</t>
        </is>
      </c>
      <c r="B1907" s="10" t="inlineStr">
        <is>
          <t>2025-11-17</t>
        </is>
      </c>
      <c r="C1907" t="inlineStr">
        <is>
          <t>Customer 181</t>
        </is>
      </c>
      <c r="D1907" t="inlineStr">
        <is>
          <t>West</t>
        </is>
      </c>
      <c r="E1907" t="inlineStr">
        <is>
          <t>Furniture</t>
        </is>
      </c>
      <c r="F1907" t="inlineStr">
        <is>
          <t>Bookcase</t>
        </is>
      </c>
      <c r="G1907" t="inlineStr">
        <is>
          <t>Standard Class</t>
        </is>
      </c>
      <c r="H1907" t="n">
        <v>3</v>
      </c>
      <c r="I1907" s="11" t="n">
        <v>945.3</v>
      </c>
      <c r="J1907" s="12" t="n">
        <v>0</v>
      </c>
      <c r="K1907" s="11" t="n">
        <v>2835.9</v>
      </c>
      <c r="L1907" s="11" t="n">
        <v>926.0700000000001</v>
      </c>
      <c r="M1907" s="12" t="n">
        <v>0.3266</v>
      </c>
    </row>
    <row r="1908">
      <c r="A1908" t="inlineStr">
        <is>
          <t>ORD-11003</t>
        </is>
      </c>
      <c r="B1908" s="10" t="inlineStr">
        <is>
          <t>2025-11-17</t>
        </is>
      </c>
      <c r="C1908" t="inlineStr">
        <is>
          <t>Customer 194</t>
        </is>
      </c>
      <c r="D1908" t="inlineStr">
        <is>
          <t>South</t>
        </is>
      </c>
      <c r="E1908" t="inlineStr">
        <is>
          <t>Furniture</t>
        </is>
      </c>
      <c r="F1908" t="inlineStr">
        <is>
          <t>Chair</t>
        </is>
      </c>
      <c r="G1908" t="inlineStr">
        <is>
          <t>Standard Class</t>
        </is>
      </c>
      <c r="H1908" t="n">
        <v>11</v>
      </c>
      <c r="I1908" s="11" t="n">
        <v>154.83</v>
      </c>
      <c r="J1908" s="12" t="n">
        <v>0</v>
      </c>
      <c r="K1908" s="11" t="n">
        <v>1703.13</v>
      </c>
      <c r="L1908" s="11" t="n">
        <v>343.9</v>
      </c>
      <c r="M1908" s="12" t="n">
        <v>0.2019</v>
      </c>
    </row>
    <row r="1909">
      <c r="A1909" t="inlineStr">
        <is>
          <t>ORD-10651</t>
        </is>
      </c>
      <c r="B1909" s="10" t="inlineStr">
        <is>
          <t>2025-11-18</t>
        </is>
      </c>
      <c r="C1909" t="inlineStr">
        <is>
          <t>Customer 106</t>
        </is>
      </c>
      <c r="D1909" t="inlineStr">
        <is>
          <t>West</t>
        </is>
      </c>
      <c r="E1909" t="inlineStr">
        <is>
          <t>Technology</t>
        </is>
      </c>
      <c r="F1909" t="inlineStr">
        <is>
          <t>Monitor</t>
        </is>
      </c>
      <c r="G1909" t="inlineStr">
        <is>
          <t>First Class</t>
        </is>
      </c>
      <c r="H1909" t="n">
        <v>1</v>
      </c>
      <c r="I1909" s="11" t="n">
        <v>891.03</v>
      </c>
      <c r="J1909" s="12" t="n">
        <v>0.15</v>
      </c>
      <c r="K1909" s="11" t="n">
        <v>757.38</v>
      </c>
      <c r="L1909" s="11" t="n">
        <v>24.84</v>
      </c>
      <c r="M1909" s="12" t="n">
        <v>0.0328</v>
      </c>
    </row>
    <row r="1910">
      <c r="A1910" t="inlineStr">
        <is>
          <t>ORD-11605</t>
        </is>
      </c>
      <c r="B1910" s="10" t="inlineStr">
        <is>
          <t>2025-11-18</t>
        </is>
      </c>
      <c r="C1910" t="inlineStr">
        <is>
          <t>Customer 99</t>
        </is>
      </c>
      <c r="D1910" t="inlineStr">
        <is>
          <t>East</t>
        </is>
      </c>
      <c r="E1910" t="inlineStr">
        <is>
          <t>Office Supplies</t>
        </is>
      </c>
      <c r="F1910" t="inlineStr">
        <is>
          <t>Pens (Box)</t>
        </is>
      </c>
      <c r="G1910" t="inlineStr">
        <is>
          <t>Same Day</t>
        </is>
      </c>
      <c r="H1910" t="n">
        <v>8</v>
      </c>
      <c r="I1910" s="11" t="n">
        <v>135.8</v>
      </c>
      <c r="J1910" s="12" t="n">
        <v>0</v>
      </c>
      <c r="K1910" s="11" t="n">
        <v>1086.4</v>
      </c>
      <c r="L1910" s="11" t="n">
        <v>278.7</v>
      </c>
      <c r="M1910" s="12" t="n">
        <v>0.2565</v>
      </c>
    </row>
    <row r="1911">
      <c r="A1911" t="inlineStr">
        <is>
          <t>ORD-11014</t>
        </is>
      </c>
      <c r="B1911" s="10" t="inlineStr">
        <is>
          <t>2025-11-18</t>
        </is>
      </c>
      <c r="C1911" t="inlineStr">
        <is>
          <t>Customer 35</t>
        </is>
      </c>
      <c r="D1911" t="inlineStr">
        <is>
          <t>West</t>
        </is>
      </c>
      <c r="E1911" t="inlineStr">
        <is>
          <t>Furniture</t>
        </is>
      </c>
      <c r="F1911" t="inlineStr">
        <is>
          <t>Desk</t>
        </is>
      </c>
      <c r="G1911" t="inlineStr">
        <is>
          <t>Second Class</t>
        </is>
      </c>
      <c r="H1911" t="n">
        <v>1</v>
      </c>
      <c r="I1911" s="11" t="n">
        <v>1063.74</v>
      </c>
      <c r="J1911" s="12" t="n">
        <v>0</v>
      </c>
      <c r="K1911" s="11" t="n">
        <v>1063.74</v>
      </c>
      <c r="L1911" s="11" t="n">
        <v>354.84</v>
      </c>
      <c r="M1911" s="12" t="n">
        <v>0.3336</v>
      </c>
    </row>
    <row r="1912">
      <c r="A1912" t="inlineStr">
        <is>
          <t>ORD-11874</t>
        </is>
      </c>
      <c r="B1912" s="10" t="inlineStr">
        <is>
          <t>2025-11-19</t>
        </is>
      </c>
      <c r="C1912" t="inlineStr">
        <is>
          <t>Customer 125</t>
        </is>
      </c>
      <c r="D1912" t="inlineStr">
        <is>
          <t>West</t>
        </is>
      </c>
      <c r="E1912" t="inlineStr">
        <is>
          <t>Technology</t>
        </is>
      </c>
      <c r="F1912" t="inlineStr">
        <is>
          <t>Monitor</t>
        </is>
      </c>
      <c r="G1912" t="inlineStr">
        <is>
          <t>Standard Class</t>
        </is>
      </c>
      <c r="H1912" t="n">
        <v>4</v>
      </c>
      <c r="I1912" s="11" t="n">
        <v>798.87</v>
      </c>
      <c r="J1912" s="12" t="n">
        <v>0</v>
      </c>
      <c r="K1912" s="11" t="n">
        <v>3195.48</v>
      </c>
      <c r="L1912" s="11" t="n">
        <v>863.35</v>
      </c>
      <c r="M1912" s="12" t="n">
        <v>0.2702</v>
      </c>
    </row>
    <row r="1913">
      <c r="A1913" t="inlineStr">
        <is>
          <t>ORD-11304</t>
        </is>
      </c>
      <c r="B1913" s="10" t="inlineStr">
        <is>
          <t>2025-11-19</t>
        </is>
      </c>
      <c r="C1913" t="inlineStr">
        <is>
          <t>Customer 129</t>
        </is>
      </c>
      <c r="D1913" t="inlineStr">
        <is>
          <t>East</t>
        </is>
      </c>
      <c r="E1913" t="inlineStr">
        <is>
          <t>Technology</t>
        </is>
      </c>
      <c r="F1913" t="inlineStr">
        <is>
          <t>Printer</t>
        </is>
      </c>
      <c r="G1913" t="inlineStr">
        <is>
          <t>First Class</t>
        </is>
      </c>
      <c r="H1913" t="n">
        <v>8</v>
      </c>
      <c r="I1913" s="11" t="n">
        <v>964</v>
      </c>
      <c r="J1913" s="12" t="n">
        <v>0</v>
      </c>
      <c r="K1913" s="11" t="n">
        <v>7712</v>
      </c>
      <c r="L1913" s="11" t="n">
        <v>1289.57</v>
      </c>
      <c r="M1913" s="12" t="n">
        <v>0.1672</v>
      </c>
    </row>
    <row r="1914">
      <c r="A1914" t="inlineStr">
        <is>
          <t>ORD-11805</t>
        </is>
      </c>
      <c r="B1914" s="10" t="inlineStr">
        <is>
          <t>2025-11-19</t>
        </is>
      </c>
      <c r="C1914" t="inlineStr">
        <is>
          <t>Customer 128</t>
        </is>
      </c>
      <c r="D1914" t="inlineStr">
        <is>
          <t>West</t>
        </is>
      </c>
      <c r="E1914" t="inlineStr">
        <is>
          <t>Technology</t>
        </is>
      </c>
      <c r="F1914" t="inlineStr">
        <is>
          <t>Printer</t>
        </is>
      </c>
      <c r="G1914" t="inlineStr">
        <is>
          <t>Same Day</t>
        </is>
      </c>
      <c r="H1914" t="n">
        <v>2</v>
      </c>
      <c r="I1914" s="11" t="n">
        <v>299.66</v>
      </c>
      <c r="J1914" s="12" t="n">
        <v>0</v>
      </c>
      <c r="K1914" s="11" t="n">
        <v>599.3200000000001</v>
      </c>
      <c r="L1914" s="11" t="n">
        <v>273.07</v>
      </c>
      <c r="M1914" s="12" t="n">
        <v>0.4556</v>
      </c>
    </row>
    <row r="1915">
      <c r="A1915" t="inlineStr">
        <is>
          <t>ORD-10822</t>
        </is>
      </c>
      <c r="B1915" s="10" t="inlineStr">
        <is>
          <t>2025-11-20</t>
        </is>
      </c>
      <c r="C1915" t="inlineStr">
        <is>
          <t>Customer 33</t>
        </is>
      </c>
      <c r="D1915" t="inlineStr">
        <is>
          <t>North</t>
        </is>
      </c>
      <c r="E1915" t="inlineStr">
        <is>
          <t>Technology</t>
        </is>
      </c>
      <c r="F1915" t="inlineStr">
        <is>
          <t>Laptop</t>
        </is>
      </c>
      <c r="G1915" t="inlineStr">
        <is>
          <t>Same Day</t>
        </is>
      </c>
      <c r="H1915" t="n">
        <v>1</v>
      </c>
      <c r="I1915" s="11" t="n">
        <v>190.88</v>
      </c>
      <c r="J1915" s="12" t="n">
        <v>0</v>
      </c>
      <c r="K1915" s="11" t="n">
        <v>190.88</v>
      </c>
      <c r="L1915" s="11" t="n">
        <v>41.2</v>
      </c>
      <c r="M1915" s="12" t="n">
        <v>0.2158</v>
      </c>
    </row>
    <row r="1916">
      <c r="A1916" t="inlineStr">
        <is>
          <t>ORD-11214</t>
        </is>
      </c>
      <c r="B1916" s="10" t="inlineStr">
        <is>
          <t>2025-11-20</t>
        </is>
      </c>
      <c r="C1916" t="inlineStr">
        <is>
          <t>Customer 196</t>
        </is>
      </c>
      <c r="D1916" t="inlineStr">
        <is>
          <t>North</t>
        </is>
      </c>
      <c r="E1916" t="inlineStr">
        <is>
          <t>Office Supplies</t>
        </is>
      </c>
      <c r="F1916" t="inlineStr">
        <is>
          <t>Paper</t>
        </is>
      </c>
      <c r="G1916" t="inlineStr">
        <is>
          <t>First Class</t>
        </is>
      </c>
      <c r="H1916" t="n">
        <v>9</v>
      </c>
      <c r="I1916" s="11" t="n">
        <v>1136.83</v>
      </c>
      <c r="J1916" s="12" t="n">
        <v>0.1</v>
      </c>
      <c r="K1916" s="11" t="n">
        <v>9208.32</v>
      </c>
      <c r="L1916" s="11" t="n">
        <v>1022.65</v>
      </c>
      <c r="M1916" s="12" t="n">
        <v>0.1111</v>
      </c>
    </row>
    <row r="1917">
      <c r="A1917" t="inlineStr">
        <is>
          <t>ORD-11884</t>
        </is>
      </c>
      <c r="B1917" s="10" t="inlineStr">
        <is>
          <t>2025-11-21</t>
        </is>
      </c>
      <c r="C1917" t="inlineStr">
        <is>
          <t>Customer 56</t>
        </is>
      </c>
      <c r="D1917" t="inlineStr">
        <is>
          <t>North</t>
        </is>
      </c>
      <c r="E1917" t="inlineStr">
        <is>
          <t>Office Supplies</t>
        </is>
      </c>
      <c r="F1917" t="inlineStr">
        <is>
          <t>Binder</t>
        </is>
      </c>
      <c r="G1917" t="inlineStr">
        <is>
          <t>Second Class</t>
        </is>
      </c>
      <c r="H1917" t="n">
        <v>10</v>
      </c>
      <c r="I1917" s="11" t="n">
        <v>126.59</v>
      </c>
      <c r="J1917" s="12" t="n">
        <v>0.15</v>
      </c>
      <c r="K1917" s="11" t="n">
        <v>1076.02</v>
      </c>
      <c r="L1917" s="11" t="n">
        <v>88.56</v>
      </c>
      <c r="M1917" s="12" t="n">
        <v>0.0823</v>
      </c>
    </row>
    <row r="1918">
      <c r="A1918" t="inlineStr">
        <is>
          <t>ORD-10972</t>
        </is>
      </c>
      <c r="B1918" s="10" t="inlineStr">
        <is>
          <t>2025-11-22</t>
        </is>
      </c>
      <c r="C1918" t="inlineStr">
        <is>
          <t>Customer 84</t>
        </is>
      </c>
      <c r="D1918" t="inlineStr">
        <is>
          <t>West</t>
        </is>
      </c>
      <c r="E1918" t="inlineStr">
        <is>
          <t>Technology</t>
        </is>
      </c>
      <c r="F1918" t="inlineStr">
        <is>
          <t>Monitor</t>
        </is>
      </c>
      <c r="G1918" t="inlineStr">
        <is>
          <t>Standard Class</t>
        </is>
      </c>
      <c r="H1918" t="n">
        <v>6</v>
      </c>
      <c r="I1918" s="11" t="n">
        <v>643.47</v>
      </c>
      <c r="J1918" s="12" t="n">
        <v>0</v>
      </c>
      <c r="K1918" s="11" t="n">
        <v>3860.82</v>
      </c>
      <c r="L1918" s="11" t="n">
        <v>1322.64</v>
      </c>
      <c r="M1918" s="12" t="n">
        <v>0.3426</v>
      </c>
    </row>
    <row r="1919">
      <c r="A1919" t="inlineStr">
        <is>
          <t>ORD-11157</t>
        </is>
      </c>
      <c r="B1919" s="10" t="inlineStr">
        <is>
          <t>2025-11-23</t>
        </is>
      </c>
      <c r="C1919" t="inlineStr">
        <is>
          <t>Customer 88</t>
        </is>
      </c>
      <c r="D1919" t="inlineStr">
        <is>
          <t>South</t>
        </is>
      </c>
      <c r="E1919" t="inlineStr">
        <is>
          <t>Technology</t>
        </is>
      </c>
      <c r="F1919" t="inlineStr">
        <is>
          <t>Wireless Mouse</t>
        </is>
      </c>
      <c r="G1919" t="inlineStr">
        <is>
          <t>First Class</t>
        </is>
      </c>
      <c r="H1919" t="n">
        <v>9</v>
      </c>
      <c r="I1919" s="11" t="n">
        <v>356.07</v>
      </c>
      <c r="J1919" s="12" t="n">
        <v>0.1</v>
      </c>
      <c r="K1919" s="11" t="n">
        <v>2884.17</v>
      </c>
      <c r="L1919" s="11" t="n">
        <v>467.32</v>
      </c>
      <c r="M1919" s="12" t="n">
        <v>0.162</v>
      </c>
    </row>
    <row r="1920">
      <c r="A1920" t="inlineStr">
        <is>
          <t>ORD-11919</t>
        </is>
      </c>
      <c r="B1920" s="10" t="inlineStr">
        <is>
          <t>2025-11-23</t>
        </is>
      </c>
      <c r="C1920" t="inlineStr">
        <is>
          <t>Customer 40</t>
        </is>
      </c>
      <c r="D1920" t="inlineStr">
        <is>
          <t>East</t>
        </is>
      </c>
      <c r="E1920" t="inlineStr">
        <is>
          <t>Technology</t>
        </is>
      </c>
      <c r="F1920" t="inlineStr">
        <is>
          <t>Monitor</t>
        </is>
      </c>
      <c r="G1920" t="inlineStr">
        <is>
          <t>Standard Class</t>
        </is>
      </c>
      <c r="H1920" t="n">
        <v>11</v>
      </c>
      <c r="I1920" s="11" t="n">
        <v>559.3200000000001</v>
      </c>
      <c r="J1920" s="12" t="n">
        <v>0.1</v>
      </c>
      <c r="K1920" s="11" t="n">
        <v>5537.27</v>
      </c>
      <c r="L1920" s="11" t="n">
        <v>493.28</v>
      </c>
      <c r="M1920" s="12" t="n">
        <v>0.0891</v>
      </c>
    </row>
    <row r="1921">
      <c r="A1921" t="inlineStr">
        <is>
          <t>ORD-10059</t>
        </is>
      </c>
      <c r="B1921" s="10" t="inlineStr">
        <is>
          <t>2025-11-23</t>
        </is>
      </c>
      <c r="C1921" t="inlineStr">
        <is>
          <t>Customer 172</t>
        </is>
      </c>
      <c r="D1921" t="inlineStr">
        <is>
          <t>North</t>
        </is>
      </c>
      <c r="E1921" t="inlineStr">
        <is>
          <t>Technology</t>
        </is>
      </c>
      <c r="F1921" t="inlineStr">
        <is>
          <t>Monitor</t>
        </is>
      </c>
      <c r="G1921" t="inlineStr">
        <is>
          <t>First Class</t>
        </is>
      </c>
      <c r="H1921" t="n">
        <v>7</v>
      </c>
      <c r="I1921" s="11" t="n">
        <v>497.11</v>
      </c>
      <c r="J1921" s="12" t="n">
        <v>0</v>
      </c>
      <c r="K1921" s="11" t="n">
        <v>3479.77</v>
      </c>
      <c r="L1921" s="11" t="n">
        <v>1474.83</v>
      </c>
      <c r="M1921" s="12" t="n">
        <v>0.4238</v>
      </c>
    </row>
    <row r="1922">
      <c r="A1922" t="inlineStr">
        <is>
          <t>ORD-10953</t>
        </is>
      </c>
      <c r="B1922" s="10" t="inlineStr">
        <is>
          <t>2025-11-23</t>
        </is>
      </c>
      <c r="C1922" t="inlineStr">
        <is>
          <t>Customer 45</t>
        </is>
      </c>
      <c r="D1922" t="inlineStr">
        <is>
          <t>North</t>
        </is>
      </c>
      <c r="E1922" t="inlineStr">
        <is>
          <t>Technology</t>
        </is>
      </c>
      <c r="F1922" t="inlineStr">
        <is>
          <t>Monitor</t>
        </is>
      </c>
      <c r="G1922" t="inlineStr">
        <is>
          <t>First Class</t>
        </is>
      </c>
      <c r="H1922" t="n">
        <v>10</v>
      </c>
      <c r="I1922" s="11" t="n">
        <v>865.03</v>
      </c>
      <c r="J1922" s="12" t="n">
        <v>0.2</v>
      </c>
      <c r="K1922" s="11" t="n">
        <v>6920.24</v>
      </c>
      <c r="L1922" s="11" t="n">
        <v>-153.38</v>
      </c>
      <c r="M1922" s="12" t="n">
        <v>-0.0222</v>
      </c>
    </row>
    <row r="1923">
      <c r="A1923" t="inlineStr">
        <is>
          <t>ORD-10721</t>
        </is>
      </c>
      <c r="B1923" s="10" t="inlineStr">
        <is>
          <t>2025-11-24</t>
        </is>
      </c>
      <c r="C1923" t="inlineStr">
        <is>
          <t>Customer 112</t>
        </is>
      </c>
      <c r="D1923" t="inlineStr">
        <is>
          <t>West</t>
        </is>
      </c>
      <c r="E1923" t="inlineStr">
        <is>
          <t>Furniture</t>
        </is>
      </c>
      <c r="F1923" t="inlineStr">
        <is>
          <t>Bookcase</t>
        </is>
      </c>
      <c r="G1923" t="inlineStr">
        <is>
          <t>Standard Class</t>
        </is>
      </c>
      <c r="H1923" t="n">
        <v>11</v>
      </c>
      <c r="I1923" s="11" t="n">
        <v>1099.98</v>
      </c>
      <c r="J1923" s="12" t="n">
        <v>0</v>
      </c>
      <c r="K1923" s="11" t="n">
        <v>12099.78</v>
      </c>
      <c r="L1923" s="11" t="n">
        <v>1954.94</v>
      </c>
      <c r="M1923" s="12" t="n">
        <v>0.1616</v>
      </c>
    </row>
    <row r="1924">
      <c r="A1924" t="inlineStr">
        <is>
          <t>ORD-11810</t>
        </is>
      </c>
      <c r="B1924" s="10" t="inlineStr">
        <is>
          <t>2025-11-25</t>
        </is>
      </c>
      <c r="C1924" t="inlineStr">
        <is>
          <t>Customer 91</t>
        </is>
      </c>
      <c r="D1924" t="inlineStr">
        <is>
          <t>South</t>
        </is>
      </c>
      <c r="E1924" t="inlineStr">
        <is>
          <t>Office Supplies</t>
        </is>
      </c>
      <c r="F1924" t="inlineStr">
        <is>
          <t>Stapler</t>
        </is>
      </c>
      <c r="G1924" t="inlineStr">
        <is>
          <t>Second Class</t>
        </is>
      </c>
      <c r="H1924" t="n">
        <v>6</v>
      </c>
      <c r="I1924" s="11" t="n">
        <v>1194.48</v>
      </c>
      <c r="J1924" s="12" t="n">
        <v>0.15</v>
      </c>
      <c r="K1924" s="11" t="n">
        <v>6091.85</v>
      </c>
      <c r="L1924" s="11" t="n">
        <v>488.4</v>
      </c>
      <c r="M1924" s="12" t="n">
        <v>0.08019999999999999</v>
      </c>
    </row>
    <row r="1925">
      <c r="A1925" t="inlineStr">
        <is>
          <t>ORD-11816</t>
        </is>
      </c>
      <c r="B1925" s="10" t="inlineStr">
        <is>
          <t>2025-11-25</t>
        </is>
      </c>
      <c r="C1925" t="inlineStr">
        <is>
          <t>Customer 113</t>
        </is>
      </c>
      <c r="D1925" t="inlineStr">
        <is>
          <t>East</t>
        </is>
      </c>
      <c r="E1925" t="inlineStr">
        <is>
          <t>Office Supplies</t>
        </is>
      </c>
      <c r="F1925" t="inlineStr">
        <is>
          <t>Binder</t>
        </is>
      </c>
      <c r="G1925" t="inlineStr">
        <is>
          <t>Second Class</t>
        </is>
      </c>
      <c r="H1925" t="n">
        <v>9</v>
      </c>
      <c r="I1925" s="11" t="n">
        <v>125.94</v>
      </c>
      <c r="J1925" s="12" t="n">
        <v>0</v>
      </c>
      <c r="K1925" s="11" t="n">
        <v>1133.46</v>
      </c>
      <c r="L1925" s="11" t="n">
        <v>385.4</v>
      </c>
      <c r="M1925" s="12" t="n">
        <v>0.34</v>
      </c>
    </row>
    <row r="1926">
      <c r="A1926" t="inlineStr">
        <is>
          <t>ORD-10813</t>
        </is>
      </c>
      <c r="B1926" s="10" t="inlineStr">
        <is>
          <t>2025-11-26</t>
        </is>
      </c>
      <c r="C1926" t="inlineStr">
        <is>
          <t>Customer 55</t>
        </is>
      </c>
      <c r="D1926" t="inlineStr">
        <is>
          <t>South</t>
        </is>
      </c>
      <c r="E1926" t="inlineStr">
        <is>
          <t>Furniture</t>
        </is>
      </c>
      <c r="F1926" t="inlineStr">
        <is>
          <t>Bookcase</t>
        </is>
      </c>
      <c r="G1926" t="inlineStr">
        <is>
          <t>Second Class</t>
        </is>
      </c>
      <c r="H1926" t="n">
        <v>10</v>
      </c>
      <c r="I1926" s="11" t="n">
        <v>266.84</v>
      </c>
      <c r="J1926" s="12" t="n">
        <v>0.1</v>
      </c>
      <c r="K1926" s="11" t="n">
        <v>2401.56</v>
      </c>
      <c r="L1926" s="11" t="n">
        <v>335.7</v>
      </c>
      <c r="M1926" s="12" t="n">
        <v>0.1398</v>
      </c>
    </row>
    <row r="1927">
      <c r="A1927" t="inlineStr">
        <is>
          <t>ORD-10134</t>
        </is>
      </c>
      <c r="B1927" s="10" t="inlineStr">
        <is>
          <t>2025-11-26</t>
        </is>
      </c>
      <c r="C1927" t="inlineStr">
        <is>
          <t>Customer 40</t>
        </is>
      </c>
      <c r="D1927" t="inlineStr">
        <is>
          <t>East</t>
        </is>
      </c>
      <c r="E1927" t="inlineStr">
        <is>
          <t>Furniture</t>
        </is>
      </c>
      <c r="F1927" t="inlineStr">
        <is>
          <t>Desk</t>
        </is>
      </c>
      <c r="G1927" t="inlineStr">
        <is>
          <t>Second Class</t>
        </is>
      </c>
      <c r="H1927" t="n">
        <v>10</v>
      </c>
      <c r="I1927" s="11" t="n">
        <v>200.47</v>
      </c>
      <c r="J1927" s="12" t="n">
        <v>0</v>
      </c>
      <c r="K1927" s="11" t="n">
        <v>2004.7</v>
      </c>
      <c r="L1927" s="11" t="n">
        <v>856.61</v>
      </c>
      <c r="M1927" s="12" t="n">
        <v>0.4273</v>
      </c>
    </row>
    <row r="1928">
      <c r="A1928" t="inlineStr">
        <is>
          <t>ORD-11216</t>
        </is>
      </c>
      <c r="B1928" s="10" t="inlineStr">
        <is>
          <t>2025-11-26</t>
        </is>
      </c>
      <c r="C1928" t="inlineStr">
        <is>
          <t>Customer 136</t>
        </is>
      </c>
      <c r="D1928" t="inlineStr">
        <is>
          <t>South</t>
        </is>
      </c>
      <c r="E1928" t="inlineStr">
        <is>
          <t>Furniture</t>
        </is>
      </c>
      <c r="F1928" t="inlineStr">
        <is>
          <t>Chair</t>
        </is>
      </c>
      <c r="G1928" t="inlineStr">
        <is>
          <t>Standard Class</t>
        </is>
      </c>
      <c r="H1928" t="n">
        <v>8</v>
      </c>
      <c r="I1928" s="11" t="n">
        <v>673.39</v>
      </c>
      <c r="J1928" s="12" t="n">
        <v>0.15</v>
      </c>
      <c r="K1928" s="11" t="n">
        <v>4579.05</v>
      </c>
      <c r="L1928" s="11" t="n">
        <v>1361.21</v>
      </c>
      <c r="M1928" s="12" t="n">
        <v>0.2973</v>
      </c>
    </row>
    <row r="1929">
      <c r="A1929" t="inlineStr">
        <is>
          <t>ORD-11819</t>
        </is>
      </c>
      <c r="B1929" s="10" t="inlineStr">
        <is>
          <t>2025-11-27</t>
        </is>
      </c>
      <c r="C1929" t="inlineStr">
        <is>
          <t>Customer 173</t>
        </is>
      </c>
      <c r="D1929" t="inlineStr">
        <is>
          <t>West</t>
        </is>
      </c>
      <c r="E1929" t="inlineStr">
        <is>
          <t>Office Supplies</t>
        </is>
      </c>
      <c r="F1929" t="inlineStr">
        <is>
          <t>Pens (Box)</t>
        </is>
      </c>
      <c r="G1929" t="inlineStr">
        <is>
          <t>Same Day</t>
        </is>
      </c>
      <c r="H1929" t="n">
        <v>11</v>
      </c>
      <c r="I1929" s="11" t="n">
        <v>532.67</v>
      </c>
      <c r="J1929" s="12" t="n">
        <v>0.1</v>
      </c>
      <c r="K1929" s="11" t="n">
        <v>5273.43</v>
      </c>
      <c r="L1929" s="11" t="n">
        <v>910.64</v>
      </c>
      <c r="M1929" s="12" t="n">
        <v>0.1727</v>
      </c>
    </row>
    <row r="1930">
      <c r="A1930" t="inlineStr">
        <is>
          <t>ORD-10096</t>
        </is>
      </c>
      <c r="B1930" s="10" t="inlineStr">
        <is>
          <t>2025-11-28</t>
        </is>
      </c>
      <c r="C1930" t="inlineStr">
        <is>
          <t>Customer 9</t>
        </is>
      </c>
      <c r="D1930" t="inlineStr">
        <is>
          <t>North</t>
        </is>
      </c>
      <c r="E1930" t="inlineStr">
        <is>
          <t>Technology</t>
        </is>
      </c>
      <c r="F1930" t="inlineStr">
        <is>
          <t>Printer</t>
        </is>
      </c>
      <c r="G1930" t="inlineStr">
        <is>
          <t>Same Day</t>
        </is>
      </c>
      <c r="H1930" t="n">
        <v>4</v>
      </c>
      <c r="I1930" s="11" t="n">
        <v>617.71</v>
      </c>
      <c r="J1930" s="12" t="n">
        <v>0</v>
      </c>
      <c r="K1930" s="11" t="n">
        <v>2470.84</v>
      </c>
      <c r="L1930" s="11" t="n">
        <v>1204.42</v>
      </c>
      <c r="M1930" s="12" t="n">
        <v>0.4875</v>
      </c>
    </row>
    <row r="1931">
      <c r="A1931" t="inlineStr">
        <is>
          <t>ORD-11348</t>
        </is>
      </c>
      <c r="B1931" s="10" t="inlineStr">
        <is>
          <t>2025-11-29</t>
        </is>
      </c>
      <c r="C1931" t="inlineStr">
        <is>
          <t>Customer 160</t>
        </is>
      </c>
      <c r="D1931" t="inlineStr">
        <is>
          <t>West</t>
        </is>
      </c>
      <c r="E1931" t="inlineStr">
        <is>
          <t>Furniture</t>
        </is>
      </c>
      <c r="F1931" t="inlineStr">
        <is>
          <t>Table Lamp</t>
        </is>
      </c>
      <c r="G1931" t="inlineStr">
        <is>
          <t>Second Class</t>
        </is>
      </c>
      <c r="H1931" t="n">
        <v>1</v>
      </c>
      <c r="I1931" s="11" t="n">
        <v>307.59</v>
      </c>
      <c r="J1931" s="12" t="n">
        <v>0</v>
      </c>
      <c r="K1931" s="11" t="n">
        <v>307.59</v>
      </c>
      <c r="L1931" s="11" t="n">
        <v>130.76</v>
      </c>
      <c r="M1931" s="12" t="n">
        <v>0.4251</v>
      </c>
    </row>
    <row r="1932">
      <c r="A1932" t="inlineStr">
        <is>
          <t>ORD-10360</t>
        </is>
      </c>
      <c r="B1932" s="10" t="inlineStr">
        <is>
          <t>2025-11-29</t>
        </is>
      </c>
      <c r="C1932" t="inlineStr">
        <is>
          <t>Customer 56</t>
        </is>
      </c>
      <c r="D1932" t="inlineStr">
        <is>
          <t>North</t>
        </is>
      </c>
      <c r="E1932" t="inlineStr">
        <is>
          <t>Office Supplies</t>
        </is>
      </c>
      <c r="F1932" t="inlineStr">
        <is>
          <t>Stapler</t>
        </is>
      </c>
      <c r="G1932" t="inlineStr">
        <is>
          <t>Same Day</t>
        </is>
      </c>
      <c r="H1932" t="n">
        <v>3</v>
      </c>
      <c r="I1932" s="11" t="n">
        <v>707.09</v>
      </c>
      <c r="J1932" s="12" t="n">
        <v>0.1</v>
      </c>
      <c r="K1932" s="11" t="n">
        <v>1909.14</v>
      </c>
      <c r="L1932" s="11" t="n">
        <v>523.96</v>
      </c>
      <c r="M1932" s="12" t="n">
        <v>0.2744</v>
      </c>
    </row>
    <row r="1933">
      <c r="A1933" t="inlineStr">
        <is>
          <t>ORD-11650</t>
        </is>
      </c>
      <c r="B1933" s="10" t="inlineStr">
        <is>
          <t>2025-11-29</t>
        </is>
      </c>
      <c r="C1933" t="inlineStr">
        <is>
          <t>Customer 5</t>
        </is>
      </c>
      <c r="D1933" t="inlineStr">
        <is>
          <t>South</t>
        </is>
      </c>
      <c r="E1933" t="inlineStr">
        <is>
          <t>Office Supplies</t>
        </is>
      </c>
      <c r="F1933" t="inlineStr">
        <is>
          <t>Binder</t>
        </is>
      </c>
      <c r="G1933" t="inlineStr">
        <is>
          <t>Second Class</t>
        </is>
      </c>
      <c r="H1933" t="n">
        <v>11</v>
      </c>
      <c r="I1933" s="11" t="n">
        <v>129.67</v>
      </c>
      <c r="J1933" s="12" t="n">
        <v>0</v>
      </c>
      <c r="K1933" s="11" t="n">
        <v>1426.37</v>
      </c>
      <c r="L1933" s="11" t="n">
        <v>498.5</v>
      </c>
      <c r="M1933" s="12" t="n">
        <v>0.3495</v>
      </c>
    </row>
    <row r="1934">
      <c r="A1934" t="inlineStr">
        <is>
          <t>ORD-11360</t>
        </is>
      </c>
      <c r="B1934" s="10" t="inlineStr">
        <is>
          <t>2025-11-30</t>
        </is>
      </c>
      <c r="C1934" t="inlineStr">
        <is>
          <t>Customer 105</t>
        </is>
      </c>
      <c r="D1934" t="inlineStr">
        <is>
          <t>West</t>
        </is>
      </c>
      <c r="E1934" t="inlineStr">
        <is>
          <t>Technology</t>
        </is>
      </c>
      <c r="F1934" t="inlineStr">
        <is>
          <t>Wireless Mouse</t>
        </is>
      </c>
      <c r="G1934" t="inlineStr">
        <is>
          <t>Same Day</t>
        </is>
      </c>
      <c r="H1934" t="n">
        <v>6</v>
      </c>
      <c r="I1934" s="11" t="n">
        <v>265.31</v>
      </c>
      <c r="J1934" s="12" t="n">
        <v>0</v>
      </c>
      <c r="K1934" s="11" t="n">
        <v>1591.86</v>
      </c>
      <c r="L1934" s="11" t="n">
        <v>552.3099999999999</v>
      </c>
      <c r="M1934" s="12" t="n">
        <v>0.347</v>
      </c>
    </row>
    <row r="1935">
      <c r="A1935" t="inlineStr">
        <is>
          <t>ORD-11459</t>
        </is>
      </c>
      <c r="B1935" s="10" t="inlineStr">
        <is>
          <t>2025-12-01</t>
        </is>
      </c>
      <c r="C1935" t="inlineStr">
        <is>
          <t>Customer 75</t>
        </is>
      </c>
      <c r="D1935" t="inlineStr">
        <is>
          <t>East</t>
        </is>
      </c>
      <c r="E1935" t="inlineStr">
        <is>
          <t>Office Supplies</t>
        </is>
      </c>
      <c r="F1935" t="inlineStr">
        <is>
          <t>Binder</t>
        </is>
      </c>
      <c r="G1935" t="inlineStr">
        <is>
          <t>First Class</t>
        </is>
      </c>
      <c r="H1935" t="n">
        <v>2</v>
      </c>
      <c r="I1935" s="11" t="n">
        <v>92.93000000000001</v>
      </c>
      <c r="J1935" s="12" t="n">
        <v>0.1</v>
      </c>
      <c r="K1935" s="11" t="n">
        <v>167.27</v>
      </c>
      <c r="L1935" s="11" t="n">
        <v>70.20999999999999</v>
      </c>
      <c r="M1935" s="12" t="n">
        <v>0.4197</v>
      </c>
    </row>
    <row r="1936">
      <c r="A1936" t="inlineStr">
        <is>
          <t>ORD-11909</t>
        </is>
      </c>
      <c r="B1936" s="10" t="inlineStr">
        <is>
          <t>2025-12-01</t>
        </is>
      </c>
      <c r="C1936" t="inlineStr">
        <is>
          <t>Customer 176</t>
        </is>
      </c>
      <c r="D1936" t="inlineStr">
        <is>
          <t>South</t>
        </is>
      </c>
      <c r="E1936" t="inlineStr">
        <is>
          <t>Furniture</t>
        </is>
      </c>
      <c r="F1936" t="inlineStr">
        <is>
          <t>Desk</t>
        </is>
      </c>
      <c r="G1936" t="inlineStr">
        <is>
          <t>Second Class</t>
        </is>
      </c>
      <c r="H1936" t="n">
        <v>10</v>
      </c>
      <c r="I1936" s="11" t="n">
        <v>694.42</v>
      </c>
      <c r="J1936" s="12" t="n">
        <v>0</v>
      </c>
      <c r="K1936" s="11" t="n">
        <v>6944.2</v>
      </c>
      <c r="L1936" s="11" t="n">
        <v>1760.43</v>
      </c>
      <c r="M1936" s="12" t="n">
        <v>0.2535</v>
      </c>
    </row>
    <row r="1937">
      <c r="A1937" t="inlineStr">
        <is>
          <t>ORD-10757</t>
        </is>
      </c>
      <c r="B1937" s="10" t="inlineStr">
        <is>
          <t>2025-12-01</t>
        </is>
      </c>
      <c r="C1937" t="inlineStr">
        <is>
          <t>Customer 120</t>
        </is>
      </c>
      <c r="D1937" t="inlineStr">
        <is>
          <t>North</t>
        </is>
      </c>
      <c r="E1937" t="inlineStr">
        <is>
          <t>Furniture</t>
        </is>
      </c>
      <c r="F1937" t="inlineStr">
        <is>
          <t>Chair</t>
        </is>
      </c>
      <c r="G1937" t="inlineStr">
        <is>
          <t>First Class</t>
        </is>
      </c>
      <c r="H1937" t="n">
        <v>4</v>
      </c>
      <c r="I1937" s="11" t="n">
        <v>610.3200000000001</v>
      </c>
      <c r="J1937" s="12" t="n">
        <v>0</v>
      </c>
      <c r="K1937" s="11" t="n">
        <v>2441.28</v>
      </c>
      <c r="L1937" s="11" t="n">
        <v>707.25</v>
      </c>
      <c r="M1937" s="12" t="n">
        <v>0.2897</v>
      </c>
    </row>
    <row r="1938">
      <c r="A1938" t="inlineStr">
        <is>
          <t>ORD-11794</t>
        </is>
      </c>
      <c r="B1938" s="10" t="inlineStr">
        <is>
          <t>2025-12-01</t>
        </is>
      </c>
      <c r="C1938" t="inlineStr">
        <is>
          <t>Customer 27</t>
        </is>
      </c>
      <c r="D1938" t="inlineStr">
        <is>
          <t>South</t>
        </is>
      </c>
      <c r="E1938" t="inlineStr">
        <is>
          <t>Office Supplies</t>
        </is>
      </c>
      <c r="F1938" t="inlineStr">
        <is>
          <t>Stapler</t>
        </is>
      </c>
      <c r="G1938" t="inlineStr">
        <is>
          <t>Second Class</t>
        </is>
      </c>
      <c r="H1938" t="n">
        <v>5</v>
      </c>
      <c r="I1938" s="11" t="n">
        <v>419.1</v>
      </c>
      <c r="J1938" s="12" t="n">
        <v>0</v>
      </c>
      <c r="K1938" s="11" t="n">
        <v>2095.5</v>
      </c>
      <c r="L1938" s="11" t="n">
        <v>621.46</v>
      </c>
      <c r="M1938" s="12" t="n">
        <v>0.2966</v>
      </c>
    </row>
    <row r="1939">
      <c r="A1939" t="inlineStr">
        <is>
          <t>ORD-10245</t>
        </is>
      </c>
      <c r="B1939" s="10" t="inlineStr">
        <is>
          <t>2025-12-02</t>
        </is>
      </c>
      <c r="C1939" t="inlineStr">
        <is>
          <t>Customer 159</t>
        </is>
      </c>
      <c r="D1939" t="inlineStr">
        <is>
          <t>East</t>
        </is>
      </c>
      <c r="E1939" t="inlineStr">
        <is>
          <t>Technology</t>
        </is>
      </c>
      <c r="F1939" t="inlineStr">
        <is>
          <t>Printer</t>
        </is>
      </c>
      <c r="G1939" t="inlineStr">
        <is>
          <t>Same Day</t>
        </is>
      </c>
      <c r="H1939" t="n">
        <v>6</v>
      </c>
      <c r="I1939" s="11" t="n">
        <v>701.26</v>
      </c>
      <c r="J1939" s="12" t="n">
        <v>0</v>
      </c>
      <c r="K1939" s="11" t="n">
        <v>4207.56</v>
      </c>
      <c r="L1939" s="11" t="n">
        <v>944.97</v>
      </c>
      <c r="M1939" s="12" t="n">
        <v>0.2246</v>
      </c>
    </row>
    <row r="1940">
      <c r="A1940" t="inlineStr">
        <is>
          <t>ORD-10116</t>
        </is>
      </c>
      <c r="B1940" s="10" t="inlineStr">
        <is>
          <t>2025-12-02</t>
        </is>
      </c>
      <c r="C1940" t="inlineStr">
        <is>
          <t>Customer 122</t>
        </is>
      </c>
      <c r="D1940" t="inlineStr">
        <is>
          <t>East</t>
        </is>
      </c>
      <c r="E1940" t="inlineStr">
        <is>
          <t>Technology</t>
        </is>
      </c>
      <c r="F1940" t="inlineStr">
        <is>
          <t>Laptop</t>
        </is>
      </c>
      <c r="G1940" t="inlineStr">
        <is>
          <t>Same Day</t>
        </is>
      </c>
      <c r="H1940" t="n">
        <v>4</v>
      </c>
      <c r="I1940" s="11" t="n">
        <v>218.24</v>
      </c>
      <c r="J1940" s="12" t="n">
        <v>0</v>
      </c>
      <c r="K1940" s="11" t="n">
        <v>872.96</v>
      </c>
      <c r="L1940" s="11" t="n">
        <v>174.03</v>
      </c>
      <c r="M1940" s="12" t="n">
        <v>0.1994</v>
      </c>
    </row>
    <row r="1941">
      <c r="A1941" t="inlineStr">
        <is>
          <t>ORD-11799</t>
        </is>
      </c>
      <c r="B1941" s="10" t="inlineStr">
        <is>
          <t>2025-12-02</t>
        </is>
      </c>
      <c r="C1941" t="inlineStr">
        <is>
          <t>Customer 180</t>
        </is>
      </c>
      <c r="D1941" t="inlineStr">
        <is>
          <t>East</t>
        </is>
      </c>
      <c r="E1941" t="inlineStr">
        <is>
          <t>Furniture</t>
        </is>
      </c>
      <c r="F1941" t="inlineStr">
        <is>
          <t>Chair</t>
        </is>
      </c>
      <c r="G1941" t="inlineStr">
        <is>
          <t>Same Day</t>
        </is>
      </c>
      <c r="H1941" t="n">
        <v>9</v>
      </c>
      <c r="I1941" s="11" t="n">
        <v>230.1</v>
      </c>
      <c r="J1941" s="12" t="n">
        <v>0.1</v>
      </c>
      <c r="K1941" s="11" t="n">
        <v>1863.81</v>
      </c>
      <c r="L1941" s="11" t="n">
        <v>374.99</v>
      </c>
      <c r="M1941" s="12" t="n">
        <v>0.2012</v>
      </c>
    </row>
    <row r="1942">
      <c r="A1942" t="inlineStr">
        <is>
          <t>ORD-11905</t>
        </is>
      </c>
      <c r="B1942" s="10" t="inlineStr">
        <is>
          <t>2025-12-03</t>
        </is>
      </c>
      <c r="C1942" t="inlineStr">
        <is>
          <t>Customer 135</t>
        </is>
      </c>
      <c r="D1942" t="inlineStr">
        <is>
          <t>West</t>
        </is>
      </c>
      <c r="E1942" t="inlineStr">
        <is>
          <t>Technology</t>
        </is>
      </c>
      <c r="F1942" t="inlineStr">
        <is>
          <t>Laptop</t>
        </is>
      </c>
      <c r="G1942" t="inlineStr">
        <is>
          <t>Same Day</t>
        </is>
      </c>
      <c r="H1942" t="n">
        <v>7</v>
      </c>
      <c r="I1942" s="11" t="n">
        <v>1159.46</v>
      </c>
      <c r="J1942" s="12" t="n">
        <v>0</v>
      </c>
      <c r="K1942" s="11" t="n">
        <v>8116.22</v>
      </c>
      <c r="L1942" s="11" t="n">
        <v>1614.74</v>
      </c>
      <c r="M1942" s="12" t="n">
        <v>0.199</v>
      </c>
    </row>
    <row r="1943">
      <c r="A1943" t="inlineStr">
        <is>
          <t>ORD-10603</t>
        </is>
      </c>
      <c r="B1943" s="10" t="inlineStr">
        <is>
          <t>2025-12-04</t>
        </is>
      </c>
      <c r="C1943" t="inlineStr">
        <is>
          <t>Customer 101</t>
        </is>
      </c>
      <c r="D1943" t="inlineStr">
        <is>
          <t>West</t>
        </is>
      </c>
      <c r="E1943" t="inlineStr">
        <is>
          <t>Furniture</t>
        </is>
      </c>
      <c r="F1943" t="inlineStr">
        <is>
          <t>Desk</t>
        </is>
      </c>
      <c r="G1943" t="inlineStr">
        <is>
          <t>Second Class</t>
        </is>
      </c>
      <c r="H1943" t="n">
        <v>7</v>
      </c>
      <c r="I1943" s="11" t="n">
        <v>660.1799999999999</v>
      </c>
      <c r="J1943" s="12" t="n">
        <v>0</v>
      </c>
      <c r="K1943" s="11" t="n">
        <v>4621.26</v>
      </c>
      <c r="L1943" s="11" t="n">
        <v>1578.3</v>
      </c>
      <c r="M1943" s="12" t="n">
        <v>0.3415</v>
      </c>
    </row>
    <row r="1944">
      <c r="A1944" t="inlineStr">
        <is>
          <t>ORD-11407</t>
        </is>
      </c>
      <c r="B1944" s="10" t="inlineStr">
        <is>
          <t>2025-12-04</t>
        </is>
      </c>
      <c r="C1944" t="inlineStr">
        <is>
          <t>Customer 156</t>
        </is>
      </c>
      <c r="D1944" t="inlineStr">
        <is>
          <t>East</t>
        </is>
      </c>
      <c r="E1944" t="inlineStr">
        <is>
          <t>Office Supplies</t>
        </is>
      </c>
      <c r="F1944" t="inlineStr">
        <is>
          <t>Paper</t>
        </is>
      </c>
      <c r="G1944" t="inlineStr">
        <is>
          <t>Standard Class</t>
        </is>
      </c>
      <c r="H1944" t="n">
        <v>4</v>
      </c>
      <c r="I1944" s="11" t="n">
        <v>594.9</v>
      </c>
      <c r="J1944" s="12" t="n">
        <v>0</v>
      </c>
      <c r="K1944" s="11" t="n">
        <v>2379.6</v>
      </c>
      <c r="L1944" s="11" t="n">
        <v>979.1</v>
      </c>
      <c r="M1944" s="12" t="n">
        <v>0.4115</v>
      </c>
    </row>
    <row r="1945">
      <c r="A1945" t="inlineStr">
        <is>
          <t>ORD-11282</t>
        </is>
      </c>
      <c r="B1945" s="10" t="inlineStr">
        <is>
          <t>2025-12-04</t>
        </is>
      </c>
      <c r="C1945" t="inlineStr">
        <is>
          <t>Customer 192</t>
        </is>
      </c>
      <c r="D1945" t="inlineStr">
        <is>
          <t>East</t>
        </is>
      </c>
      <c r="E1945" t="inlineStr">
        <is>
          <t>Technology</t>
        </is>
      </c>
      <c r="F1945" t="inlineStr">
        <is>
          <t>Laptop</t>
        </is>
      </c>
      <c r="G1945" t="inlineStr">
        <is>
          <t>Same Day</t>
        </is>
      </c>
      <c r="H1945" t="n">
        <v>7</v>
      </c>
      <c r="I1945" s="11" t="n">
        <v>712.92</v>
      </c>
      <c r="J1945" s="12" t="n">
        <v>0</v>
      </c>
      <c r="K1945" s="11" t="n">
        <v>4990.44</v>
      </c>
      <c r="L1945" s="11" t="n">
        <v>2451.29</v>
      </c>
      <c r="M1945" s="12" t="n">
        <v>0.4912</v>
      </c>
    </row>
    <row r="1946">
      <c r="A1946" t="inlineStr">
        <is>
          <t>ORD-10544</t>
        </is>
      </c>
      <c r="B1946" s="10" t="inlineStr">
        <is>
          <t>2025-12-05</t>
        </is>
      </c>
      <c r="C1946" t="inlineStr">
        <is>
          <t>Customer 93</t>
        </is>
      </c>
      <c r="D1946" t="inlineStr">
        <is>
          <t>West</t>
        </is>
      </c>
      <c r="E1946" t="inlineStr">
        <is>
          <t>Furniture</t>
        </is>
      </c>
      <c r="F1946" t="inlineStr">
        <is>
          <t>Chair</t>
        </is>
      </c>
      <c r="G1946" t="inlineStr">
        <is>
          <t>Standard Class</t>
        </is>
      </c>
      <c r="H1946" t="n">
        <v>9</v>
      </c>
      <c r="I1946" s="11" t="n">
        <v>720.64</v>
      </c>
      <c r="J1946" s="12" t="n">
        <v>0</v>
      </c>
      <c r="K1946" s="11" t="n">
        <v>6485.76</v>
      </c>
      <c r="L1946" s="11" t="n">
        <v>1905.79</v>
      </c>
      <c r="M1946" s="12" t="n">
        <v>0.2938</v>
      </c>
    </row>
    <row r="1947">
      <c r="A1947" t="inlineStr">
        <is>
          <t>ORD-10203</t>
        </is>
      </c>
      <c r="B1947" s="10" t="inlineStr">
        <is>
          <t>2025-12-05</t>
        </is>
      </c>
      <c r="C1947" t="inlineStr">
        <is>
          <t>Customer 34</t>
        </is>
      </c>
      <c r="D1947" t="inlineStr">
        <is>
          <t>East</t>
        </is>
      </c>
      <c r="E1947" t="inlineStr">
        <is>
          <t>Office Supplies</t>
        </is>
      </c>
      <c r="F1947" t="inlineStr">
        <is>
          <t>Stapler</t>
        </is>
      </c>
      <c r="G1947" t="inlineStr">
        <is>
          <t>Standard Class</t>
        </is>
      </c>
      <c r="H1947" t="n">
        <v>2</v>
      </c>
      <c r="I1947" s="11" t="n">
        <v>955.97</v>
      </c>
      <c r="J1947" s="12" t="n">
        <v>0</v>
      </c>
      <c r="K1947" s="11" t="n">
        <v>1911.94</v>
      </c>
      <c r="L1947" s="11" t="n">
        <v>592.27</v>
      </c>
      <c r="M1947" s="12" t="n">
        <v>0.3098</v>
      </c>
    </row>
    <row r="1948">
      <c r="A1948" t="inlineStr">
        <is>
          <t>ORD-11564</t>
        </is>
      </c>
      <c r="B1948" s="10" t="inlineStr">
        <is>
          <t>2025-12-06</t>
        </is>
      </c>
      <c r="C1948" t="inlineStr">
        <is>
          <t>Customer 181</t>
        </is>
      </c>
      <c r="D1948" t="inlineStr">
        <is>
          <t>West</t>
        </is>
      </c>
      <c r="E1948" t="inlineStr">
        <is>
          <t>Technology</t>
        </is>
      </c>
      <c r="F1948" t="inlineStr">
        <is>
          <t>Wireless Mouse</t>
        </is>
      </c>
      <c r="G1948" t="inlineStr">
        <is>
          <t>Second Class</t>
        </is>
      </c>
      <c r="H1948" t="n">
        <v>2</v>
      </c>
      <c r="I1948" s="11" t="n">
        <v>84.45</v>
      </c>
      <c r="J1948" s="12" t="n">
        <v>0</v>
      </c>
      <c r="K1948" s="11" t="n">
        <v>168.9</v>
      </c>
      <c r="L1948" s="11" t="n">
        <v>66.66</v>
      </c>
      <c r="M1948" s="12" t="n">
        <v>0.3947</v>
      </c>
    </row>
    <row r="1949">
      <c r="A1949" t="inlineStr">
        <is>
          <t>ORD-10610</t>
        </is>
      </c>
      <c r="B1949" s="10" t="inlineStr">
        <is>
          <t>2025-12-06</t>
        </is>
      </c>
      <c r="C1949" t="inlineStr">
        <is>
          <t>Customer 88</t>
        </is>
      </c>
      <c r="D1949" t="inlineStr">
        <is>
          <t>South</t>
        </is>
      </c>
      <c r="E1949" t="inlineStr">
        <is>
          <t>Technology</t>
        </is>
      </c>
      <c r="F1949" t="inlineStr">
        <is>
          <t>Wireless Mouse</t>
        </is>
      </c>
      <c r="G1949" t="inlineStr">
        <is>
          <t>Standard Class</t>
        </is>
      </c>
      <c r="H1949" t="n">
        <v>6</v>
      </c>
      <c r="I1949" s="11" t="n">
        <v>845.87</v>
      </c>
      <c r="J1949" s="12" t="n">
        <v>0</v>
      </c>
      <c r="K1949" s="11" t="n">
        <v>5075.22</v>
      </c>
      <c r="L1949" s="11" t="n">
        <v>1496.44</v>
      </c>
      <c r="M1949" s="12" t="n">
        <v>0.2949</v>
      </c>
    </row>
    <row r="1950">
      <c r="A1950" t="inlineStr">
        <is>
          <t>ORD-10051</t>
        </is>
      </c>
      <c r="B1950" s="10" t="inlineStr">
        <is>
          <t>2025-12-07</t>
        </is>
      </c>
      <c r="C1950" t="inlineStr">
        <is>
          <t>Customer 145</t>
        </is>
      </c>
      <c r="D1950" t="inlineStr">
        <is>
          <t>West</t>
        </is>
      </c>
      <c r="E1950" t="inlineStr">
        <is>
          <t>Office Supplies</t>
        </is>
      </c>
      <c r="F1950" t="inlineStr">
        <is>
          <t>Pens (Box)</t>
        </is>
      </c>
      <c r="G1950" t="inlineStr">
        <is>
          <t>Standard Class</t>
        </is>
      </c>
      <c r="H1950" t="n">
        <v>3</v>
      </c>
      <c r="I1950" s="11" t="n">
        <v>1020.04</v>
      </c>
      <c r="J1950" s="12" t="n">
        <v>0</v>
      </c>
      <c r="K1950" s="11" t="n">
        <v>3060.12</v>
      </c>
      <c r="L1950" s="11" t="n">
        <v>672.1900000000001</v>
      </c>
      <c r="M1950" s="12" t="n">
        <v>0.2197</v>
      </c>
    </row>
    <row r="1951">
      <c r="A1951" t="inlineStr">
        <is>
          <t>ORD-11190</t>
        </is>
      </c>
      <c r="B1951" s="10" t="inlineStr">
        <is>
          <t>2025-12-07</t>
        </is>
      </c>
      <c r="C1951" t="inlineStr">
        <is>
          <t>Customer 159</t>
        </is>
      </c>
      <c r="D1951" t="inlineStr">
        <is>
          <t>East</t>
        </is>
      </c>
      <c r="E1951" t="inlineStr">
        <is>
          <t>Technology</t>
        </is>
      </c>
      <c r="F1951" t="inlineStr">
        <is>
          <t>Laptop</t>
        </is>
      </c>
      <c r="G1951" t="inlineStr">
        <is>
          <t>First Class</t>
        </is>
      </c>
      <c r="H1951" t="n">
        <v>2</v>
      </c>
      <c r="I1951" s="11" t="n">
        <v>824.76</v>
      </c>
      <c r="J1951" s="12" t="n">
        <v>0</v>
      </c>
      <c r="K1951" s="11" t="n">
        <v>1649.52</v>
      </c>
      <c r="L1951" s="11" t="n">
        <v>424.57</v>
      </c>
      <c r="M1951" s="12" t="n">
        <v>0.2574</v>
      </c>
    </row>
    <row r="1952">
      <c r="A1952" t="inlineStr">
        <is>
          <t>ORD-10597</t>
        </is>
      </c>
      <c r="B1952" s="10" t="inlineStr">
        <is>
          <t>2025-12-07</t>
        </is>
      </c>
      <c r="C1952" t="inlineStr">
        <is>
          <t>Customer 28</t>
        </is>
      </c>
      <c r="D1952" t="inlineStr">
        <is>
          <t>West</t>
        </is>
      </c>
      <c r="E1952" t="inlineStr">
        <is>
          <t>Furniture</t>
        </is>
      </c>
      <c r="F1952" t="inlineStr">
        <is>
          <t>Bookcase</t>
        </is>
      </c>
      <c r="G1952" t="inlineStr">
        <is>
          <t>Second Class</t>
        </is>
      </c>
      <c r="H1952" t="n">
        <v>3</v>
      </c>
      <c r="I1952" s="11" t="n">
        <v>70.45999999999999</v>
      </c>
      <c r="J1952" s="12" t="n">
        <v>0</v>
      </c>
      <c r="K1952" s="11" t="n">
        <v>211.38</v>
      </c>
      <c r="L1952" s="11" t="n">
        <v>69.18000000000001</v>
      </c>
      <c r="M1952" s="12" t="n">
        <v>0.3273</v>
      </c>
    </row>
    <row r="1953">
      <c r="A1953" t="inlineStr">
        <is>
          <t>ORD-11953</t>
        </is>
      </c>
      <c r="B1953" s="10" t="inlineStr">
        <is>
          <t>2025-12-07</t>
        </is>
      </c>
      <c r="C1953" t="inlineStr">
        <is>
          <t>Customer 185</t>
        </is>
      </c>
      <c r="D1953" t="inlineStr">
        <is>
          <t>South</t>
        </is>
      </c>
      <c r="E1953" t="inlineStr">
        <is>
          <t>Office Supplies</t>
        </is>
      </c>
      <c r="F1953" t="inlineStr">
        <is>
          <t>Paper</t>
        </is>
      </c>
      <c r="G1953" t="inlineStr">
        <is>
          <t>Same Day</t>
        </is>
      </c>
      <c r="H1953" t="n">
        <v>3</v>
      </c>
      <c r="I1953" s="11" t="n">
        <v>786.42</v>
      </c>
      <c r="J1953" s="12" t="n">
        <v>0</v>
      </c>
      <c r="K1953" s="11" t="n">
        <v>2359.26</v>
      </c>
      <c r="L1953" s="11" t="n">
        <v>770.54</v>
      </c>
      <c r="M1953" s="12" t="n">
        <v>0.3266</v>
      </c>
    </row>
    <row r="1954">
      <c r="A1954" t="inlineStr">
        <is>
          <t>ORD-10351</t>
        </is>
      </c>
      <c r="B1954" s="10" t="inlineStr">
        <is>
          <t>2025-12-07</t>
        </is>
      </c>
      <c r="C1954" t="inlineStr">
        <is>
          <t>Customer 163</t>
        </is>
      </c>
      <c r="D1954" t="inlineStr">
        <is>
          <t>South</t>
        </is>
      </c>
      <c r="E1954" t="inlineStr">
        <is>
          <t>Furniture</t>
        </is>
      </c>
      <c r="F1954" t="inlineStr">
        <is>
          <t>Table Lamp</t>
        </is>
      </c>
      <c r="G1954" t="inlineStr">
        <is>
          <t>Standard Class</t>
        </is>
      </c>
      <c r="H1954" t="n">
        <v>10</v>
      </c>
      <c r="I1954" s="11" t="n">
        <v>724.53</v>
      </c>
      <c r="J1954" s="12" t="n">
        <v>0</v>
      </c>
      <c r="K1954" s="11" t="n">
        <v>7245.3</v>
      </c>
      <c r="L1954" s="11" t="n">
        <v>1863.12</v>
      </c>
      <c r="M1954" s="12" t="n">
        <v>0.2571</v>
      </c>
    </row>
    <row r="1955">
      <c r="A1955" t="inlineStr">
        <is>
          <t>ORD-11697</t>
        </is>
      </c>
      <c r="B1955" s="10" t="inlineStr">
        <is>
          <t>2025-12-08</t>
        </is>
      </c>
      <c r="C1955" t="inlineStr">
        <is>
          <t>Customer 119</t>
        </is>
      </c>
      <c r="D1955" t="inlineStr">
        <is>
          <t>North</t>
        </is>
      </c>
      <c r="E1955" t="inlineStr">
        <is>
          <t>Office Supplies</t>
        </is>
      </c>
      <c r="F1955" t="inlineStr">
        <is>
          <t>Binder</t>
        </is>
      </c>
      <c r="G1955" t="inlineStr">
        <is>
          <t>Same Day</t>
        </is>
      </c>
      <c r="H1955" t="n">
        <v>4</v>
      </c>
      <c r="I1955" s="11" t="n">
        <v>428.38</v>
      </c>
      <c r="J1955" s="12" t="n">
        <v>0</v>
      </c>
      <c r="K1955" s="11" t="n">
        <v>1713.52</v>
      </c>
      <c r="L1955" s="11" t="n">
        <v>805.98</v>
      </c>
      <c r="M1955" s="12" t="n">
        <v>0.4704</v>
      </c>
    </row>
    <row r="1956">
      <c r="A1956" t="inlineStr">
        <is>
          <t>ORD-11837</t>
        </is>
      </c>
      <c r="B1956" s="10" t="inlineStr">
        <is>
          <t>2025-12-08</t>
        </is>
      </c>
      <c r="C1956" t="inlineStr">
        <is>
          <t>Customer 179</t>
        </is>
      </c>
      <c r="D1956" t="inlineStr">
        <is>
          <t>West</t>
        </is>
      </c>
      <c r="E1956" t="inlineStr">
        <is>
          <t>Furniture</t>
        </is>
      </c>
      <c r="F1956" t="inlineStr">
        <is>
          <t>Table Lamp</t>
        </is>
      </c>
      <c r="G1956" t="inlineStr">
        <is>
          <t>Second Class</t>
        </is>
      </c>
      <c r="H1956" t="n">
        <v>10</v>
      </c>
      <c r="I1956" s="11" t="n">
        <v>609.11</v>
      </c>
      <c r="J1956" s="12" t="n">
        <v>0</v>
      </c>
      <c r="K1956" s="11" t="n">
        <v>6091.1</v>
      </c>
      <c r="L1956" s="11" t="n">
        <v>1505.46</v>
      </c>
      <c r="M1956" s="12" t="n">
        <v>0.2472</v>
      </c>
    </row>
    <row r="1957">
      <c r="A1957" t="inlineStr">
        <is>
          <t>ORD-10672</t>
        </is>
      </c>
      <c r="B1957" s="10" t="inlineStr">
        <is>
          <t>2025-12-08</t>
        </is>
      </c>
      <c r="C1957" t="inlineStr">
        <is>
          <t>Customer 151</t>
        </is>
      </c>
      <c r="D1957" t="inlineStr">
        <is>
          <t>West</t>
        </is>
      </c>
      <c r="E1957" t="inlineStr">
        <is>
          <t>Technology</t>
        </is>
      </c>
      <c r="F1957" t="inlineStr">
        <is>
          <t>Monitor</t>
        </is>
      </c>
      <c r="G1957" t="inlineStr">
        <is>
          <t>First Class</t>
        </is>
      </c>
      <c r="H1957" t="n">
        <v>3</v>
      </c>
      <c r="I1957" s="11" t="n">
        <v>214.03</v>
      </c>
      <c r="J1957" s="12" t="n">
        <v>0</v>
      </c>
      <c r="K1957" s="11" t="n">
        <v>642.09</v>
      </c>
      <c r="L1957" s="11" t="n">
        <v>283.84</v>
      </c>
      <c r="M1957" s="12" t="n">
        <v>0.4421</v>
      </c>
    </row>
    <row r="1958">
      <c r="A1958" t="inlineStr">
        <is>
          <t>ORD-11776</t>
        </is>
      </c>
      <c r="B1958" s="10" t="inlineStr">
        <is>
          <t>2025-12-09</t>
        </is>
      </c>
      <c r="C1958" t="inlineStr">
        <is>
          <t>Customer 173</t>
        </is>
      </c>
      <c r="D1958" t="inlineStr">
        <is>
          <t>West</t>
        </is>
      </c>
      <c r="E1958" t="inlineStr">
        <is>
          <t>Furniture</t>
        </is>
      </c>
      <c r="F1958" t="inlineStr">
        <is>
          <t>Table Lamp</t>
        </is>
      </c>
      <c r="G1958" t="inlineStr">
        <is>
          <t>First Class</t>
        </is>
      </c>
      <c r="H1958" t="n">
        <v>4</v>
      </c>
      <c r="I1958" s="11" t="n">
        <v>874.78</v>
      </c>
      <c r="J1958" s="12" t="n">
        <v>0</v>
      </c>
      <c r="K1958" s="11" t="n">
        <v>3499.12</v>
      </c>
      <c r="L1958" s="11" t="n">
        <v>1253.41</v>
      </c>
      <c r="M1958" s="12" t="n">
        <v>0.3582</v>
      </c>
    </row>
    <row r="1959">
      <c r="A1959" t="inlineStr">
        <is>
          <t>ORD-10479</t>
        </is>
      </c>
      <c r="B1959" s="10" t="inlineStr">
        <is>
          <t>2025-12-09</t>
        </is>
      </c>
      <c r="C1959" t="inlineStr">
        <is>
          <t>Customer 121</t>
        </is>
      </c>
      <c r="D1959" t="inlineStr">
        <is>
          <t>South</t>
        </is>
      </c>
      <c r="E1959" t="inlineStr">
        <is>
          <t>Furniture</t>
        </is>
      </c>
      <c r="F1959" t="inlineStr">
        <is>
          <t>Chair</t>
        </is>
      </c>
      <c r="G1959" t="inlineStr">
        <is>
          <t>Same Day</t>
        </is>
      </c>
      <c r="H1959" t="n">
        <v>2</v>
      </c>
      <c r="I1959" s="11" t="n">
        <v>118.95</v>
      </c>
      <c r="J1959" s="12" t="n">
        <v>0</v>
      </c>
      <c r="K1959" s="11" t="n">
        <v>237.9</v>
      </c>
      <c r="L1959" s="11" t="n">
        <v>60.56</v>
      </c>
      <c r="M1959" s="12" t="n">
        <v>0.2546</v>
      </c>
    </row>
    <row r="1960">
      <c r="A1960" t="inlineStr">
        <is>
          <t>ORD-11240</t>
        </is>
      </c>
      <c r="B1960" s="10" t="inlineStr">
        <is>
          <t>2025-12-11</t>
        </is>
      </c>
      <c r="C1960" t="inlineStr">
        <is>
          <t>Customer 145</t>
        </is>
      </c>
      <c r="D1960" t="inlineStr">
        <is>
          <t>West</t>
        </is>
      </c>
      <c r="E1960" t="inlineStr">
        <is>
          <t>Furniture</t>
        </is>
      </c>
      <c r="F1960" t="inlineStr">
        <is>
          <t>Bookcase</t>
        </is>
      </c>
      <c r="G1960" t="inlineStr">
        <is>
          <t>Second Class</t>
        </is>
      </c>
      <c r="H1960" t="n">
        <v>4</v>
      </c>
      <c r="I1960" s="11" t="n">
        <v>1046.27</v>
      </c>
      <c r="J1960" s="12" t="n">
        <v>0</v>
      </c>
      <c r="K1960" s="11" t="n">
        <v>4185.08</v>
      </c>
      <c r="L1960" s="11" t="n">
        <v>1739.26</v>
      </c>
      <c r="M1960" s="12" t="n">
        <v>0.4156</v>
      </c>
    </row>
    <row r="1961">
      <c r="A1961" t="inlineStr">
        <is>
          <t>ORD-11911</t>
        </is>
      </c>
      <c r="B1961" s="10" t="inlineStr">
        <is>
          <t>2025-12-11</t>
        </is>
      </c>
      <c r="C1961" t="inlineStr">
        <is>
          <t>Customer 145</t>
        </is>
      </c>
      <c r="D1961" t="inlineStr">
        <is>
          <t>West</t>
        </is>
      </c>
      <c r="E1961" t="inlineStr">
        <is>
          <t>Office Supplies</t>
        </is>
      </c>
      <c r="F1961" t="inlineStr">
        <is>
          <t>Pens (Box)</t>
        </is>
      </c>
      <c r="G1961" t="inlineStr">
        <is>
          <t>Same Day</t>
        </is>
      </c>
      <c r="H1961" t="n">
        <v>6</v>
      </c>
      <c r="I1961" s="11" t="n">
        <v>396.22</v>
      </c>
      <c r="J1961" s="12" t="n">
        <v>0</v>
      </c>
      <c r="K1961" s="11" t="n">
        <v>2377.32</v>
      </c>
      <c r="L1961" s="11" t="n">
        <v>1020.07</v>
      </c>
      <c r="M1961" s="12" t="n">
        <v>0.4291</v>
      </c>
    </row>
    <row r="1962">
      <c r="A1962" t="inlineStr">
        <is>
          <t>ORD-10303</t>
        </is>
      </c>
      <c r="B1962" s="10" t="inlineStr">
        <is>
          <t>2025-12-11</t>
        </is>
      </c>
      <c r="C1962" t="inlineStr">
        <is>
          <t>Customer 19</t>
        </is>
      </c>
      <c r="D1962" t="inlineStr">
        <is>
          <t>West</t>
        </is>
      </c>
      <c r="E1962" t="inlineStr">
        <is>
          <t>Furniture</t>
        </is>
      </c>
      <c r="F1962" t="inlineStr">
        <is>
          <t>Bookcase</t>
        </is>
      </c>
      <c r="G1962" t="inlineStr">
        <is>
          <t>Same Day</t>
        </is>
      </c>
      <c r="H1962" t="n">
        <v>5</v>
      </c>
      <c r="I1962" s="11" t="n">
        <v>1116.48</v>
      </c>
      <c r="J1962" s="12" t="n">
        <v>0</v>
      </c>
      <c r="K1962" s="11" t="n">
        <v>5582.4</v>
      </c>
      <c r="L1962" s="11" t="n">
        <v>893.76</v>
      </c>
      <c r="M1962" s="12" t="n">
        <v>0.1601</v>
      </c>
    </row>
    <row r="1963">
      <c r="A1963" t="inlineStr">
        <is>
          <t>ORD-11258</t>
        </is>
      </c>
      <c r="B1963" s="10" t="inlineStr">
        <is>
          <t>2025-12-12</t>
        </is>
      </c>
      <c r="C1963" t="inlineStr">
        <is>
          <t>Customer 46</t>
        </is>
      </c>
      <c r="D1963" t="inlineStr">
        <is>
          <t>West</t>
        </is>
      </c>
      <c r="E1963" t="inlineStr">
        <is>
          <t>Technology</t>
        </is>
      </c>
      <c r="F1963" t="inlineStr">
        <is>
          <t>Laptop</t>
        </is>
      </c>
      <c r="G1963" t="inlineStr">
        <is>
          <t>Second Class</t>
        </is>
      </c>
      <c r="H1963" t="n">
        <v>4</v>
      </c>
      <c r="I1963" s="11" t="n">
        <v>872.73</v>
      </c>
      <c r="J1963" s="12" t="n">
        <v>0</v>
      </c>
      <c r="K1963" s="11" t="n">
        <v>3490.92</v>
      </c>
      <c r="L1963" s="11" t="n">
        <v>1291.59</v>
      </c>
      <c r="M1963" s="12" t="n">
        <v>0.37</v>
      </c>
    </row>
    <row r="1964">
      <c r="A1964" t="inlineStr">
        <is>
          <t>ORD-10560</t>
        </is>
      </c>
      <c r="B1964" s="10" t="inlineStr">
        <is>
          <t>2025-12-12</t>
        </is>
      </c>
      <c r="C1964" t="inlineStr">
        <is>
          <t>Customer 112</t>
        </is>
      </c>
      <c r="D1964" t="inlineStr">
        <is>
          <t>West</t>
        </is>
      </c>
      <c r="E1964" t="inlineStr">
        <is>
          <t>Office Supplies</t>
        </is>
      </c>
      <c r="F1964" t="inlineStr">
        <is>
          <t>Paper</t>
        </is>
      </c>
      <c r="G1964" t="inlineStr">
        <is>
          <t>Second Class</t>
        </is>
      </c>
      <c r="H1964" t="n">
        <v>9</v>
      </c>
      <c r="I1964" s="11" t="n">
        <v>309.75</v>
      </c>
      <c r="J1964" s="12" t="n">
        <v>0.1</v>
      </c>
      <c r="K1964" s="11" t="n">
        <v>2508.97</v>
      </c>
      <c r="L1964" s="11" t="n">
        <v>338.63</v>
      </c>
      <c r="M1964" s="12" t="n">
        <v>0.135</v>
      </c>
    </row>
    <row r="1965">
      <c r="A1965" t="inlineStr">
        <is>
          <t>ORD-11081</t>
        </is>
      </c>
      <c r="B1965" s="10" t="inlineStr">
        <is>
          <t>2025-12-12</t>
        </is>
      </c>
      <c r="C1965" t="inlineStr">
        <is>
          <t>Customer 30</t>
        </is>
      </c>
      <c r="D1965" t="inlineStr">
        <is>
          <t>South</t>
        </is>
      </c>
      <c r="E1965" t="inlineStr">
        <is>
          <t>Technology</t>
        </is>
      </c>
      <c r="F1965" t="inlineStr">
        <is>
          <t>Printer</t>
        </is>
      </c>
      <c r="G1965" t="inlineStr">
        <is>
          <t>Same Day</t>
        </is>
      </c>
      <c r="H1965" t="n">
        <v>1</v>
      </c>
      <c r="I1965" s="11" t="n">
        <v>1146.86</v>
      </c>
      <c r="J1965" s="12" t="n">
        <v>0.15</v>
      </c>
      <c r="K1965" s="11" t="n">
        <v>974.83</v>
      </c>
      <c r="L1965" s="11" t="n">
        <v>284.66</v>
      </c>
      <c r="M1965" s="12" t="n">
        <v>0.292</v>
      </c>
    </row>
    <row r="1966">
      <c r="A1966" t="inlineStr">
        <is>
          <t>ORD-11617</t>
        </is>
      </c>
      <c r="B1966" s="10" t="inlineStr">
        <is>
          <t>2025-12-13</t>
        </is>
      </c>
      <c r="C1966" t="inlineStr">
        <is>
          <t>Customer 59</t>
        </is>
      </c>
      <c r="D1966" t="inlineStr">
        <is>
          <t>East</t>
        </is>
      </c>
      <c r="E1966" t="inlineStr">
        <is>
          <t>Technology</t>
        </is>
      </c>
      <c r="F1966" t="inlineStr">
        <is>
          <t>Printer</t>
        </is>
      </c>
      <c r="G1966" t="inlineStr">
        <is>
          <t>First Class</t>
        </is>
      </c>
      <c r="H1966" t="n">
        <v>2</v>
      </c>
      <c r="I1966" s="11" t="n">
        <v>451.17</v>
      </c>
      <c r="J1966" s="12" t="n">
        <v>0.2</v>
      </c>
      <c r="K1966" s="11" t="n">
        <v>721.87</v>
      </c>
      <c r="L1966" s="11" t="n">
        <v>-29.04</v>
      </c>
      <c r="M1966" s="12" t="n">
        <v>-0.0402</v>
      </c>
    </row>
    <row r="1967">
      <c r="A1967" t="inlineStr">
        <is>
          <t>ORD-11064</t>
        </is>
      </c>
      <c r="B1967" s="10" t="inlineStr">
        <is>
          <t>2025-12-13</t>
        </is>
      </c>
      <c r="C1967" t="inlineStr">
        <is>
          <t>Customer 96</t>
        </is>
      </c>
      <c r="D1967" t="inlineStr">
        <is>
          <t>South</t>
        </is>
      </c>
      <c r="E1967" t="inlineStr">
        <is>
          <t>Technology</t>
        </is>
      </c>
      <c r="F1967" t="inlineStr">
        <is>
          <t>Laptop</t>
        </is>
      </c>
      <c r="G1967" t="inlineStr">
        <is>
          <t>Same Day</t>
        </is>
      </c>
      <c r="H1967" t="n">
        <v>11</v>
      </c>
      <c r="I1967" s="11" t="n">
        <v>11.57</v>
      </c>
      <c r="J1967" s="12" t="n">
        <v>0.1</v>
      </c>
      <c r="K1967" s="11" t="n">
        <v>114.54</v>
      </c>
      <c r="L1967" s="11" t="n">
        <v>40.06</v>
      </c>
      <c r="M1967" s="12" t="n">
        <v>0.3497</v>
      </c>
    </row>
    <row r="1968">
      <c r="A1968" t="inlineStr">
        <is>
          <t>ORD-11753</t>
        </is>
      </c>
      <c r="B1968" s="10" t="inlineStr">
        <is>
          <t>2025-12-13</t>
        </is>
      </c>
      <c r="C1968" t="inlineStr">
        <is>
          <t>Customer 177</t>
        </is>
      </c>
      <c r="D1968" t="inlineStr">
        <is>
          <t>East</t>
        </is>
      </c>
      <c r="E1968" t="inlineStr">
        <is>
          <t>Furniture</t>
        </is>
      </c>
      <c r="F1968" t="inlineStr">
        <is>
          <t>Chair</t>
        </is>
      </c>
      <c r="G1968" t="inlineStr">
        <is>
          <t>Second Class</t>
        </is>
      </c>
      <c r="H1968" t="n">
        <v>9</v>
      </c>
      <c r="I1968" s="11" t="n">
        <v>129.39</v>
      </c>
      <c r="J1968" s="12" t="n">
        <v>0</v>
      </c>
      <c r="K1968" s="11" t="n">
        <v>1164.51</v>
      </c>
      <c r="L1968" s="11" t="n">
        <v>570.77</v>
      </c>
      <c r="M1968" s="12" t="n">
        <v>0.4901</v>
      </c>
    </row>
    <row r="1969">
      <c r="A1969" t="inlineStr">
        <is>
          <t>ORD-11713</t>
        </is>
      </c>
      <c r="B1969" s="10" t="inlineStr">
        <is>
          <t>2025-12-13</t>
        </is>
      </c>
      <c r="C1969" t="inlineStr">
        <is>
          <t>Customer 112</t>
        </is>
      </c>
      <c r="D1969" t="inlineStr">
        <is>
          <t>West</t>
        </is>
      </c>
      <c r="E1969" t="inlineStr">
        <is>
          <t>Office Supplies</t>
        </is>
      </c>
      <c r="F1969" t="inlineStr">
        <is>
          <t>Binder</t>
        </is>
      </c>
      <c r="G1969" t="inlineStr">
        <is>
          <t>First Class</t>
        </is>
      </c>
      <c r="H1969" t="n">
        <v>9</v>
      </c>
      <c r="I1969" s="11" t="n">
        <v>78.8</v>
      </c>
      <c r="J1969" s="12" t="n">
        <v>0.3</v>
      </c>
      <c r="K1969" s="11" t="n">
        <v>496.44</v>
      </c>
      <c r="L1969" s="11" t="n">
        <v>128.33</v>
      </c>
      <c r="M1969" s="12" t="n">
        <v>0.2585</v>
      </c>
    </row>
    <row r="1970">
      <c r="A1970" t="inlineStr">
        <is>
          <t>ORD-10123</t>
        </is>
      </c>
      <c r="B1970" s="10" t="inlineStr">
        <is>
          <t>2025-12-13</t>
        </is>
      </c>
      <c r="C1970" t="inlineStr">
        <is>
          <t>Customer 53</t>
        </is>
      </c>
      <c r="D1970" t="inlineStr">
        <is>
          <t>South</t>
        </is>
      </c>
      <c r="E1970" t="inlineStr">
        <is>
          <t>Furniture</t>
        </is>
      </c>
      <c r="F1970" t="inlineStr">
        <is>
          <t>Desk</t>
        </is>
      </c>
      <c r="G1970" t="inlineStr">
        <is>
          <t>Second Class</t>
        </is>
      </c>
      <c r="H1970" t="n">
        <v>9</v>
      </c>
      <c r="I1970" s="11" t="n">
        <v>1057.84</v>
      </c>
      <c r="J1970" s="12" t="n">
        <v>0</v>
      </c>
      <c r="K1970" s="11" t="n">
        <v>9520.559999999999</v>
      </c>
      <c r="L1970" s="11" t="n">
        <v>4086.88</v>
      </c>
      <c r="M1970" s="12" t="n">
        <v>0.4293</v>
      </c>
    </row>
    <row r="1971">
      <c r="A1971" t="inlineStr">
        <is>
          <t>ORD-11368</t>
        </is>
      </c>
      <c r="B1971" s="10" t="inlineStr">
        <is>
          <t>2025-12-14</t>
        </is>
      </c>
      <c r="C1971" t="inlineStr">
        <is>
          <t>Customer 96</t>
        </is>
      </c>
      <c r="D1971" t="inlineStr">
        <is>
          <t>South</t>
        </is>
      </c>
      <c r="E1971" t="inlineStr">
        <is>
          <t>Technology</t>
        </is>
      </c>
      <c r="F1971" t="inlineStr">
        <is>
          <t>Monitor</t>
        </is>
      </c>
      <c r="G1971" t="inlineStr">
        <is>
          <t>Standard Class</t>
        </is>
      </c>
      <c r="H1971" t="n">
        <v>10</v>
      </c>
      <c r="I1971" s="11" t="n">
        <v>43.12</v>
      </c>
      <c r="J1971" s="12" t="n">
        <v>0</v>
      </c>
      <c r="K1971" s="11" t="n">
        <v>431.2</v>
      </c>
      <c r="L1971" s="11" t="n">
        <v>82.48</v>
      </c>
      <c r="M1971" s="12" t="n">
        <v>0.1913</v>
      </c>
    </row>
    <row r="1972">
      <c r="A1972" t="inlineStr">
        <is>
          <t>ORD-11423</t>
        </is>
      </c>
      <c r="B1972" s="10" t="inlineStr">
        <is>
          <t>2025-12-14</t>
        </is>
      </c>
      <c r="C1972" t="inlineStr">
        <is>
          <t>Customer 48</t>
        </is>
      </c>
      <c r="D1972" t="inlineStr">
        <is>
          <t>West</t>
        </is>
      </c>
      <c r="E1972" t="inlineStr">
        <is>
          <t>Furniture</t>
        </is>
      </c>
      <c r="F1972" t="inlineStr">
        <is>
          <t>Bookcase</t>
        </is>
      </c>
      <c r="G1972" t="inlineStr">
        <is>
          <t>First Class</t>
        </is>
      </c>
      <c r="H1972" t="n">
        <v>7</v>
      </c>
      <c r="I1972" s="11" t="n">
        <v>694.5700000000001</v>
      </c>
      <c r="J1972" s="12" t="n">
        <v>0</v>
      </c>
      <c r="K1972" s="11" t="n">
        <v>4861.99</v>
      </c>
      <c r="L1972" s="11" t="n">
        <v>1012.64</v>
      </c>
      <c r="M1972" s="12" t="n">
        <v>0.2083</v>
      </c>
    </row>
    <row r="1973">
      <c r="A1973" t="inlineStr">
        <is>
          <t>ORD-11814</t>
        </is>
      </c>
      <c r="B1973" s="10" t="inlineStr">
        <is>
          <t>2025-12-14</t>
        </is>
      </c>
      <c r="C1973" t="inlineStr">
        <is>
          <t>Customer 33</t>
        </is>
      </c>
      <c r="D1973" t="inlineStr">
        <is>
          <t>South</t>
        </is>
      </c>
      <c r="E1973" t="inlineStr">
        <is>
          <t>Office Supplies</t>
        </is>
      </c>
      <c r="F1973" t="inlineStr">
        <is>
          <t>Binder</t>
        </is>
      </c>
      <c r="G1973" t="inlineStr">
        <is>
          <t>Standard Class</t>
        </is>
      </c>
      <c r="H1973" t="n">
        <v>6</v>
      </c>
      <c r="I1973" s="11" t="n">
        <v>598.415</v>
      </c>
      <c r="J1973" s="12" t="n">
        <v>0</v>
      </c>
      <c r="K1973" s="11" t="n">
        <v>1081.27</v>
      </c>
      <c r="L1973" s="11" t="n">
        <v>658.67</v>
      </c>
      <c r="M1973" s="12" t="n">
        <v>0.6092</v>
      </c>
    </row>
    <row r="1974">
      <c r="A1974" t="inlineStr">
        <is>
          <t>ORD-11478</t>
        </is>
      </c>
      <c r="B1974" s="10" t="inlineStr">
        <is>
          <t>2025-12-14</t>
        </is>
      </c>
      <c r="C1974" t="inlineStr">
        <is>
          <t>Customer 24</t>
        </is>
      </c>
      <c r="D1974" t="inlineStr">
        <is>
          <t>West</t>
        </is>
      </c>
      <c r="E1974" t="inlineStr">
        <is>
          <t>Technology</t>
        </is>
      </c>
      <c r="F1974" t="inlineStr">
        <is>
          <t>Laptop</t>
        </is>
      </c>
      <c r="G1974" t="inlineStr">
        <is>
          <t>Same Day</t>
        </is>
      </c>
      <c r="H1974" t="n">
        <v>3</v>
      </c>
      <c r="I1974" s="11" t="n">
        <v>339.35</v>
      </c>
      <c r="J1974" s="12" t="n">
        <v>0</v>
      </c>
      <c r="K1974" s="11" t="n">
        <v>1018.05</v>
      </c>
      <c r="L1974" s="11" t="n">
        <v>463.73</v>
      </c>
      <c r="M1974" s="12" t="n">
        <v>0.4555</v>
      </c>
    </row>
    <row r="1975">
      <c r="A1975" t="inlineStr">
        <is>
          <t>ORD-11793</t>
        </is>
      </c>
      <c r="B1975" s="10" t="inlineStr">
        <is>
          <t>2025-12-15</t>
        </is>
      </c>
      <c r="C1975" t="inlineStr">
        <is>
          <t>Customer 171</t>
        </is>
      </c>
      <c r="D1975" t="inlineStr">
        <is>
          <t>North</t>
        </is>
      </c>
      <c r="E1975" t="inlineStr">
        <is>
          <t>Furniture</t>
        </is>
      </c>
      <c r="F1975" t="inlineStr">
        <is>
          <t>Bookcase</t>
        </is>
      </c>
      <c r="G1975" t="inlineStr">
        <is>
          <t>Second Class</t>
        </is>
      </c>
      <c r="H1975" t="n">
        <v>9</v>
      </c>
      <c r="I1975" s="11" t="n">
        <v>1032.53</v>
      </c>
      <c r="J1975" s="12" t="n">
        <v>0</v>
      </c>
      <c r="K1975" s="11" t="n">
        <v>9292.77</v>
      </c>
      <c r="L1975" s="11" t="n">
        <v>2624.28</v>
      </c>
      <c r="M1975" s="12" t="n">
        <v>0.2824</v>
      </c>
    </row>
    <row r="1976">
      <c r="A1976" t="inlineStr">
        <is>
          <t>ORD-10763</t>
        </is>
      </c>
      <c r="B1976" s="10" t="inlineStr">
        <is>
          <t>2025-12-15</t>
        </is>
      </c>
      <c r="C1976" t="inlineStr">
        <is>
          <t>Customer 117</t>
        </is>
      </c>
      <c r="D1976" t="inlineStr">
        <is>
          <t>North</t>
        </is>
      </c>
      <c r="E1976" t="inlineStr">
        <is>
          <t>Furniture</t>
        </is>
      </c>
      <c r="F1976" t="inlineStr">
        <is>
          <t>Bookcase</t>
        </is>
      </c>
      <c r="G1976" t="inlineStr">
        <is>
          <t>First Class</t>
        </is>
      </c>
      <c r="H1976" t="n">
        <v>9</v>
      </c>
      <c r="I1976" s="11" t="n">
        <v>333.25</v>
      </c>
      <c r="J1976" s="12" t="n">
        <v>0</v>
      </c>
      <c r="K1976" s="11" t="n">
        <v>2999.25</v>
      </c>
      <c r="L1976" s="11" t="n">
        <v>922.65</v>
      </c>
      <c r="M1976" s="12" t="n">
        <v>0.3076</v>
      </c>
    </row>
    <row r="1977">
      <c r="A1977" t="inlineStr">
        <is>
          <t>ORD-10907</t>
        </is>
      </c>
      <c r="B1977" s="10" t="inlineStr">
        <is>
          <t>2025-12-15</t>
        </is>
      </c>
      <c r="C1977" t="inlineStr">
        <is>
          <t>Customer 155</t>
        </is>
      </c>
      <c r="D1977" t="inlineStr">
        <is>
          <t>South</t>
        </is>
      </c>
      <c r="E1977" t="inlineStr">
        <is>
          <t>Technology</t>
        </is>
      </c>
      <c r="F1977" t="inlineStr">
        <is>
          <t>Printer</t>
        </is>
      </c>
      <c r="G1977" t="inlineStr">
        <is>
          <t>Standard Class</t>
        </is>
      </c>
      <c r="H1977" t="n">
        <v>2</v>
      </c>
      <c r="I1977" s="11" t="n">
        <v>826.95</v>
      </c>
      <c r="J1977" s="12" t="n">
        <v>0.3</v>
      </c>
      <c r="K1977" s="11" t="n">
        <v>1157.73</v>
      </c>
      <c r="L1977" s="11" t="n">
        <v>-194.8</v>
      </c>
      <c r="M1977" s="12" t="n">
        <v>-0.1683</v>
      </c>
    </row>
    <row r="1978">
      <c r="A1978" t="inlineStr">
        <is>
          <t>ORD-11709</t>
        </is>
      </c>
      <c r="B1978" s="10" t="inlineStr">
        <is>
          <t>2025-12-15</t>
        </is>
      </c>
      <c r="C1978" t="inlineStr">
        <is>
          <t>Customer 107</t>
        </is>
      </c>
      <c r="D1978" t="inlineStr">
        <is>
          <t>West</t>
        </is>
      </c>
      <c r="E1978" t="inlineStr">
        <is>
          <t>Office Supplies</t>
        </is>
      </c>
      <c r="F1978" t="inlineStr">
        <is>
          <t>Pens (Box)</t>
        </is>
      </c>
      <c r="G1978" t="inlineStr">
        <is>
          <t>Same Day</t>
        </is>
      </c>
      <c r="H1978" t="n">
        <v>2</v>
      </c>
      <c r="I1978" s="11" t="n">
        <v>146.38</v>
      </c>
      <c r="J1978" s="12" t="n">
        <v>0</v>
      </c>
      <c r="K1978" s="11" t="n">
        <v>292.76</v>
      </c>
      <c r="L1978" s="11" t="n">
        <v>94.29000000000001</v>
      </c>
      <c r="M1978" s="12" t="n">
        <v>0.3221</v>
      </c>
    </row>
    <row r="1979">
      <c r="A1979" t="inlineStr">
        <is>
          <t>ORD-10054</t>
        </is>
      </c>
      <c r="B1979" s="10" t="inlineStr">
        <is>
          <t>2025-12-16</t>
        </is>
      </c>
      <c r="C1979" t="inlineStr">
        <is>
          <t>Customer 135</t>
        </is>
      </c>
      <c r="D1979" t="inlineStr">
        <is>
          <t>West</t>
        </is>
      </c>
      <c r="E1979" t="inlineStr">
        <is>
          <t>Furniture</t>
        </is>
      </c>
      <c r="F1979" t="inlineStr">
        <is>
          <t>Bookcase</t>
        </is>
      </c>
      <c r="G1979" t="inlineStr">
        <is>
          <t>Standard Class</t>
        </is>
      </c>
      <c r="H1979" t="n">
        <v>6</v>
      </c>
      <c r="I1979" s="11" t="n">
        <v>735.79</v>
      </c>
      <c r="J1979" s="12" t="n">
        <v>0</v>
      </c>
      <c r="K1979" s="11" t="n">
        <v>4414.74</v>
      </c>
      <c r="L1979" s="11" t="n">
        <v>1255.07</v>
      </c>
      <c r="M1979" s="12" t="n">
        <v>0.2843</v>
      </c>
    </row>
    <row r="1980">
      <c r="A1980" t="inlineStr">
        <is>
          <t>ORD-10727</t>
        </is>
      </c>
      <c r="B1980" s="10" t="inlineStr">
        <is>
          <t>2025-12-16</t>
        </is>
      </c>
      <c r="C1980" t="inlineStr">
        <is>
          <t>Customer 56</t>
        </is>
      </c>
      <c r="D1980" t="inlineStr">
        <is>
          <t>North</t>
        </is>
      </c>
      <c r="E1980" t="inlineStr">
        <is>
          <t>Technology</t>
        </is>
      </c>
      <c r="F1980" t="inlineStr">
        <is>
          <t>Monitor</t>
        </is>
      </c>
      <c r="G1980" t="inlineStr">
        <is>
          <t>Second Class</t>
        </is>
      </c>
      <c r="H1980" t="n">
        <v>8</v>
      </c>
      <c r="I1980" s="11" t="n">
        <v>333.2</v>
      </c>
      <c r="J1980" s="12" t="n">
        <v>0.1</v>
      </c>
      <c r="K1980" s="11" t="n">
        <v>2399.04</v>
      </c>
      <c r="L1980" s="11" t="n">
        <v>409.41</v>
      </c>
      <c r="M1980" s="12" t="n">
        <v>0.1707</v>
      </c>
    </row>
    <row r="1981">
      <c r="A1981" t="inlineStr">
        <is>
          <t>ORD-11070</t>
        </is>
      </c>
      <c r="B1981" s="10" t="inlineStr">
        <is>
          <t>2025-12-16</t>
        </is>
      </c>
      <c r="C1981" t="inlineStr">
        <is>
          <t>Customer 94</t>
        </is>
      </c>
      <c r="D1981" t="inlineStr">
        <is>
          <t>South</t>
        </is>
      </c>
      <c r="E1981" t="inlineStr">
        <is>
          <t>Technology</t>
        </is>
      </c>
      <c r="F1981" t="inlineStr">
        <is>
          <t>Monitor</t>
        </is>
      </c>
      <c r="G1981" t="inlineStr">
        <is>
          <t>Standard Class</t>
        </is>
      </c>
      <c r="H1981" t="n">
        <v>11</v>
      </c>
      <c r="I1981" s="11" t="n">
        <v>269.36</v>
      </c>
      <c r="J1981" s="12" t="n">
        <v>0</v>
      </c>
      <c r="K1981" s="11" t="n">
        <v>2962.96</v>
      </c>
      <c r="L1981" s="11" t="n">
        <v>1036.21</v>
      </c>
      <c r="M1981" s="12" t="n">
        <v>0.3497</v>
      </c>
    </row>
    <row r="1982">
      <c r="A1982" t="inlineStr">
        <is>
          <t>ORD-11856</t>
        </is>
      </c>
      <c r="B1982" s="10" t="inlineStr">
        <is>
          <t>2025-12-16</t>
        </is>
      </c>
      <c r="C1982" t="inlineStr">
        <is>
          <t>Customer 161</t>
        </is>
      </c>
      <c r="D1982" t="inlineStr">
        <is>
          <t>West</t>
        </is>
      </c>
      <c r="E1982" t="inlineStr">
        <is>
          <t>Technology</t>
        </is>
      </c>
      <c r="F1982" t="inlineStr">
        <is>
          <t>Laptop</t>
        </is>
      </c>
      <c r="G1982" t="inlineStr">
        <is>
          <t>First Class</t>
        </is>
      </c>
      <c r="H1982" t="n">
        <v>2</v>
      </c>
      <c r="I1982" s="11" t="n">
        <v>31.92</v>
      </c>
      <c r="J1982" s="12" t="n">
        <v>0</v>
      </c>
      <c r="K1982" s="11" t="n">
        <v>63.84</v>
      </c>
      <c r="L1982" s="11" t="n">
        <v>28.08</v>
      </c>
      <c r="M1982" s="12" t="n">
        <v>0.4398</v>
      </c>
    </row>
    <row r="1983">
      <c r="A1983" t="inlineStr">
        <is>
          <t>ORD-11723</t>
        </is>
      </c>
      <c r="B1983" s="10" t="inlineStr">
        <is>
          <t>2025-12-16</t>
        </is>
      </c>
      <c r="C1983" t="inlineStr">
        <is>
          <t>Customer 124</t>
        </is>
      </c>
      <c r="D1983" t="inlineStr">
        <is>
          <t>South</t>
        </is>
      </c>
      <c r="E1983" t="inlineStr">
        <is>
          <t>Technology</t>
        </is>
      </c>
      <c r="F1983" t="inlineStr">
        <is>
          <t>Wireless Mouse</t>
        </is>
      </c>
      <c r="G1983" t="inlineStr">
        <is>
          <t>Second Class</t>
        </is>
      </c>
      <c r="H1983" t="n">
        <v>6</v>
      </c>
      <c r="I1983" s="11" t="n">
        <v>1020.77</v>
      </c>
      <c r="J1983" s="12" t="n">
        <v>0.1</v>
      </c>
      <c r="K1983" s="11" t="n">
        <v>5512.16</v>
      </c>
      <c r="L1983" s="11" t="n">
        <v>571.74</v>
      </c>
      <c r="M1983" s="12" t="n">
        <v>0.1037</v>
      </c>
    </row>
    <row r="1984">
      <c r="A1984" t="inlineStr">
        <is>
          <t>ORD-10091</t>
        </is>
      </c>
      <c r="B1984" s="10" t="inlineStr">
        <is>
          <t>2025-12-16</t>
        </is>
      </c>
      <c r="C1984" t="inlineStr">
        <is>
          <t>Customer 185</t>
        </is>
      </c>
      <c r="D1984" t="inlineStr">
        <is>
          <t>South</t>
        </is>
      </c>
      <c r="E1984" t="inlineStr">
        <is>
          <t>Technology</t>
        </is>
      </c>
      <c r="F1984" t="inlineStr">
        <is>
          <t>Monitor</t>
        </is>
      </c>
      <c r="G1984" t="inlineStr">
        <is>
          <t>Second Class</t>
        </is>
      </c>
      <c r="H1984" t="n">
        <v>5</v>
      </c>
      <c r="I1984" s="11" t="n">
        <v>1151.26</v>
      </c>
      <c r="J1984" s="12" t="n">
        <v>0.1</v>
      </c>
      <c r="K1984" s="11" t="n">
        <v>5180.67</v>
      </c>
      <c r="L1984" s="11" t="n">
        <v>1212.85</v>
      </c>
      <c r="M1984" s="12" t="n">
        <v>0.2341</v>
      </c>
    </row>
    <row r="1985">
      <c r="A1985" t="inlineStr">
        <is>
          <t>ORD-10909</t>
        </is>
      </c>
      <c r="B1985" s="10" t="inlineStr">
        <is>
          <t>2025-12-17</t>
        </is>
      </c>
      <c r="C1985" t="inlineStr">
        <is>
          <t>Customer 71</t>
        </is>
      </c>
      <c r="D1985" t="inlineStr">
        <is>
          <t>West</t>
        </is>
      </c>
      <c r="E1985" t="inlineStr">
        <is>
          <t>Technology</t>
        </is>
      </c>
      <c r="F1985" t="inlineStr">
        <is>
          <t>Printer</t>
        </is>
      </c>
      <c r="G1985" t="inlineStr">
        <is>
          <t>Second Class</t>
        </is>
      </c>
      <c r="H1985" t="n">
        <v>2</v>
      </c>
      <c r="I1985" s="11" t="n">
        <v>77.84999999999999</v>
      </c>
      <c r="J1985" s="12" t="n">
        <v>0</v>
      </c>
      <c r="K1985" s="11" t="n">
        <v>155.7</v>
      </c>
      <c r="L1985" s="11" t="n">
        <v>42.14</v>
      </c>
      <c r="M1985" s="12" t="n">
        <v>0.2706</v>
      </c>
    </row>
    <row r="1986">
      <c r="A1986" t="inlineStr">
        <is>
          <t>ORD-10873</t>
        </is>
      </c>
      <c r="B1986" s="10" t="inlineStr">
        <is>
          <t>2025-12-17</t>
        </is>
      </c>
      <c r="C1986" t="inlineStr">
        <is>
          <t>Customer 5</t>
        </is>
      </c>
      <c r="D1986" t="inlineStr">
        <is>
          <t>South</t>
        </is>
      </c>
      <c r="E1986" t="inlineStr">
        <is>
          <t>Technology</t>
        </is>
      </c>
      <c r="F1986" t="inlineStr">
        <is>
          <t>Wireless Mouse</t>
        </is>
      </c>
      <c r="G1986" t="inlineStr">
        <is>
          <t>Second Class</t>
        </is>
      </c>
      <c r="H1986" t="n">
        <v>9</v>
      </c>
      <c r="I1986" s="11" t="n">
        <v>962.5700000000001</v>
      </c>
      <c r="J1986" s="12" t="n">
        <v>0.15</v>
      </c>
      <c r="K1986" s="11" t="n">
        <v>7363.66</v>
      </c>
      <c r="L1986" s="11" t="n">
        <v>2295.9</v>
      </c>
      <c r="M1986" s="12" t="n">
        <v>0.3118</v>
      </c>
    </row>
    <row r="1987">
      <c r="A1987" t="inlineStr">
        <is>
          <t>ORD-10214</t>
        </is>
      </c>
      <c r="B1987" s="10" t="inlineStr">
        <is>
          <t>2025-12-17</t>
        </is>
      </c>
      <c r="C1987" t="inlineStr">
        <is>
          <t>Customer 46</t>
        </is>
      </c>
      <c r="D1987" t="inlineStr">
        <is>
          <t>West</t>
        </is>
      </c>
      <c r="E1987" t="inlineStr">
        <is>
          <t>Technology</t>
        </is>
      </c>
      <c r="F1987" t="inlineStr">
        <is>
          <t>Laptop</t>
        </is>
      </c>
      <c r="G1987" t="inlineStr">
        <is>
          <t>Standard Class</t>
        </is>
      </c>
      <c r="H1987" t="n">
        <v>7</v>
      </c>
      <c r="I1987" s="11" t="n">
        <v>565.46</v>
      </c>
      <c r="J1987" s="12" t="n">
        <v>0.15</v>
      </c>
      <c r="K1987" s="11" t="n">
        <v>3364.49</v>
      </c>
      <c r="L1987" s="11" t="n">
        <v>726.55</v>
      </c>
      <c r="M1987" s="12" t="n">
        <v>0.2159</v>
      </c>
    </row>
    <row r="1988">
      <c r="A1988" t="inlineStr">
        <is>
          <t>ORD-10126</t>
        </is>
      </c>
      <c r="B1988" s="10" t="inlineStr">
        <is>
          <t>2025-12-18</t>
        </is>
      </c>
      <c r="C1988" t="inlineStr">
        <is>
          <t>Customer 191</t>
        </is>
      </c>
      <c r="D1988" t="inlineStr">
        <is>
          <t>East</t>
        </is>
      </c>
      <c r="E1988" t="inlineStr">
        <is>
          <t>Furniture</t>
        </is>
      </c>
      <c r="F1988" t="inlineStr">
        <is>
          <t>Table Lamp</t>
        </is>
      </c>
      <c r="G1988" t="inlineStr">
        <is>
          <t>Second Class</t>
        </is>
      </c>
      <c r="H1988" t="n">
        <v>7</v>
      </c>
      <c r="I1988" s="11" t="n">
        <v>1143.83</v>
      </c>
      <c r="J1988" s="12" t="n">
        <v>0</v>
      </c>
      <c r="K1988" s="11" t="n">
        <v>8006.81</v>
      </c>
      <c r="L1988" s="11" t="n">
        <v>3617.25</v>
      </c>
      <c r="M1988" s="12" t="n">
        <v>0.4518</v>
      </c>
    </row>
    <row r="1989">
      <c r="A1989" t="inlineStr">
        <is>
          <t>ORD-11245</t>
        </is>
      </c>
      <c r="B1989" s="10" t="inlineStr">
        <is>
          <t>2025-12-18</t>
        </is>
      </c>
      <c r="C1989" t="inlineStr">
        <is>
          <t>Customer 63</t>
        </is>
      </c>
      <c r="D1989" t="inlineStr">
        <is>
          <t>South</t>
        </is>
      </c>
      <c r="E1989" t="inlineStr">
        <is>
          <t>Technology</t>
        </is>
      </c>
      <c r="F1989" t="inlineStr">
        <is>
          <t>Printer</t>
        </is>
      </c>
      <c r="G1989" t="inlineStr">
        <is>
          <t>Standard Class</t>
        </is>
      </c>
      <c r="H1989" t="n">
        <v>5</v>
      </c>
      <c r="I1989" s="11" t="n">
        <v>750.63</v>
      </c>
      <c r="J1989" s="12" t="n">
        <v>0.15</v>
      </c>
      <c r="K1989" s="11" t="n">
        <v>3190.18</v>
      </c>
      <c r="L1989" s="11" t="n">
        <v>435.51</v>
      </c>
      <c r="M1989" s="12" t="n">
        <v>0.1365</v>
      </c>
    </row>
    <row r="1990">
      <c r="A1990" t="inlineStr">
        <is>
          <t>ORD-10766</t>
        </is>
      </c>
      <c r="B1990" s="10" t="inlineStr">
        <is>
          <t>2025-12-19</t>
        </is>
      </c>
      <c r="C1990" t="inlineStr">
        <is>
          <t>Customer 55</t>
        </is>
      </c>
      <c r="D1990" t="inlineStr">
        <is>
          <t>South</t>
        </is>
      </c>
      <c r="E1990" t="inlineStr">
        <is>
          <t>Office Supplies</t>
        </is>
      </c>
      <c r="F1990" t="inlineStr">
        <is>
          <t>Stapler</t>
        </is>
      </c>
      <c r="G1990" t="inlineStr">
        <is>
          <t>Second Class</t>
        </is>
      </c>
      <c r="H1990" t="n">
        <v>7</v>
      </c>
      <c r="I1990" s="11" t="n">
        <v>271.87</v>
      </c>
      <c r="J1990" s="12" t="n">
        <v>0</v>
      </c>
      <c r="K1990" s="11" t="n">
        <v>1903.09</v>
      </c>
      <c r="L1990" s="11" t="n">
        <v>851.96</v>
      </c>
      <c r="M1990" s="12" t="n">
        <v>0.4477</v>
      </c>
    </row>
    <row r="1991">
      <c r="A1991" t="inlineStr">
        <is>
          <t>ORD-10106</t>
        </is>
      </c>
      <c r="B1991" s="10" t="inlineStr">
        <is>
          <t>2025-12-19</t>
        </is>
      </c>
      <c r="C1991" t="inlineStr">
        <is>
          <t>Customer 111</t>
        </is>
      </c>
      <c r="D1991" t="inlineStr">
        <is>
          <t>South</t>
        </is>
      </c>
      <c r="E1991" t="inlineStr">
        <is>
          <t>Office Supplies</t>
        </is>
      </c>
      <c r="F1991" t="inlineStr">
        <is>
          <t>Stapler</t>
        </is>
      </c>
      <c r="G1991" t="inlineStr">
        <is>
          <t>Same Day</t>
        </is>
      </c>
      <c r="H1991" t="n">
        <v>11</v>
      </c>
      <c r="I1991" s="11" t="n">
        <v>437.04</v>
      </c>
      <c r="J1991" s="12" t="n">
        <v>0.15</v>
      </c>
      <c r="K1991" s="11" t="n">
        <v>4086.32</v>
      </c>
      <c r="L1991" s="11" t="n">
        <v>1146.86</v>
      </c>
      <c r="M1991" s="12" t="n">
        <v>0.2807</v>
      </c>
    </row>
    <row r="1992">
      <c r="A1992" t="inlineStr">
        <is>
          <t>ORD-11410</t>
        </is>
      </c>
      <c r="B1992" s="10" t="inlineStr">
        <is>
          <t>2025-12-19</t>
        </is>
      </c>
      <c r="C1992" t="inlineStr">
        <is>
          <t>Customer 95</t>
        </is>
      </c>
      <c r="D1992" t="inlineStr">
        <is>
          <t>West</t>
        </is>
      </c>
      <c r="E1992" t="inlineStr">
        <is>
          <t>Technology</t>
        </is>
      </c>
      <c r="F1992" t="inlineStr">
        <is>
          <t>Monitor</t>
        </is>
      </c>
      <c r="G1992" t="inlineStr">
        <is>
          <t>Standard Class</t>
        </is>
      </c>
      <c r="H1992" t="n">
        <v>5</v>
      </c>
      <c r="I1992" s="11" t="n">
        <v>140.1</v>
      </c>
      <c r="J1992" s="12" t="n">
        <v>0.1</v>
      </c>
      <c r="K1992" s="11" t="n">
        <v>630.45</v>
      </c>
      <c r="L1992" s="11" t="n">
        <v>71.76000000000001</v>
      </c>
      <c r="M1992" s="12" t="n">
        <v>0.1138</v>
      </c>
    </row>
    <row r="1993">
      <c r="A1993" t="inlineStr">
        <is>
          <t>ORD-11385</t>
        </is>
      </c>
      <c r="B1993" s="10" t="inlineStr">
        <is>
          <t>2025-12-19</t>
        </is>
      </c>
      <c r="C1993" t="inlineStr">
        <is>
          <t>Customer 69</t>
        </is>
      </c>
      <c r="D1993" t="inlineStr">
        <is>
          <t>North</t>
        </is>
      </c>
      <c r="E1993" t="inlineStr">
        <is>
          <t>Technology</t>
        </is>
      </c>
      <c r="F1993" t="inlineStr">
        <is>
          <t>Laptop</t>
        </is>
      </c>
      <c r="G1993" t="inlineStr">
        <is>
          <t>Standard Class</t>
        </is>
      </c>
      <c r="H1993" t="n">
        <v>5</v>
      </c>
      <c r="I1993" s="11" t="n">
        <v>670.1799999999999</v>
      </c>
      <c r="J1993" s="12" t="n">
        <v>0.3</v>
      </c>
      <c r="K1993" s="11" t="n">
        <v>2345.63</v>
      </c>
      <c r="L1993" s="11" t="n">
        <v>301.69</v>
      </c>
      <c r="M1993" s="12" t="n">
        <v>0.1286</v>
      </c>
    </row>
    <row r="1994">
      <c r="A1994" t="inlineStr">
        <is>
          <t>ORD-10798</t>
        </is>
      </c>
      <c r="B1994" s="10" t="inlineStr">
        <is>
          <t>2025-12-20</t>
        </is>
      </c>
      <c r="C1994" t="inlineStr">
        <is>
          <t>Customer 91</t>
        </is>
      </c>
      <c r="D1994" t="inlineStr">
        <is>
          <t>South</t>
        </is>
      </c>
      <c r="E1994" t="inlineStr">
        <is>
          <t>Furniture</t>
        </is>
      </c>
      <c r="F1994" t="inlineStr">
        <is>
          <t>Desk</t>
        </is>
      </c>
      <c r="G1994" t="inlineStr">
        <is>
          <t>Same Day</t>
        </is>
      </c>
      <c r="H1994" t="n">
        <v>11</v>
      </c>
      <c r="I1994" s="11" t="n">
        <v>457.16</v>
      </c>
      <c r="J1994" s="12" t="n">
        <v>0</v>
      </c>
      <c r="K1994" s="11" t="n">
        <v>5028.76</v>
      </c>
      <c r="L1994" s="11" t="n">
        <v>2316.75</v>
      </c>
      <c r="M1994" s="12" t="n">
        <v>0.4607</v>
      </c>
    </row>
    <row r="1995">
      <c r="A1995" t="inlineStr">
        <is>
          <t>ORD-10628</t>
        </is>
      </c>
      <c r="B1995" s="10" t="inlineStr">
        <is>
          <t>2025-12-20</t>
        </is>
      </c>
      <c r="C1995" t="inlineStr">
        <is>
          <t>Customer 149</t>
        </is>
      </c>
      <c r="D1995" t="inlineStr">
        <is>
          <t>West</t>
        </is>
      </c>
      <c r="E1995" t="inlineStr">
        <is>
          <t>Technology</t>
        </is>
      </c>
      <c r="F1995" t="inlineStr">
        <is>
          <t>Printer</t>
        </is>
      </c>
      <c r="G1995" t="inlineStr">
        <is>
          <t>Standard Class</t>
        </is>
      </c>
      <c r="H1995" t="n">
        <v>7</v>
      </c>
      <c r="I1995" s="11" t="n">
        <v>786.51</v>
      </c>
      <c r="J1995" s="12" t="n">
        <v>0.15</v>
      </c>
      <c r="K1995" s="11" t="n">
        <v>4679.73</v>
      </c>
      <c r="L1995" s="11" t="n">
        <v>528.46</v>
      </c>
      <c r="M1995" s="12" t="n">
        <v>0.1129</v>
      </c>
    </row>
    <row r="1996">
      <c r="A1996" t="inlineStr">
        <is>
          <t>ORD-11724</t>
        </is>
      </c>
      <c r="B1996" s="10" t="inlineStr">
        <is>
          <t>2025-12-21</t>
        </is>
      </c>
      <c r="C1996" t="inlineStr">
        <is>
          <t>Customer 2</t>
        </is>
      </c>
      <c r="D1996" t="inlineStr">
        <is>
          <t>West</t>
        </is>
      </c>
      <c r="E1996" t="inlineStr">
        <is>
          <t>Furniture</t>
        </is>
      </c>
      <c r="F1996" t="inlineStr">
        <is>
          <t>Bookcase</t>
        </is>
      </c>
      <c r="G1996" t="inlineStr">
        <is>
          <t>First Class</t>
        </is>
      </c>
      <c r="H1996" t="n">
        <v>5</v>
      </c>
      <c r="I1996" s="11" t="n">
        <v>1151.2</v>
      </c>
      <c r="J1996" s="12" t="n">
        <v>0.15</v>
      </c>
      <c r="K1996" s="11" t="n">
        <v>4892.6</v>
      </c>
      <c r="L1996" s="11" t="n">
        <v>452.64</v>
      </c>
      <c r="M1996" s="12" t="n">
        <v>0.0925</v>
      </c>
    </row>
    <row r="1997">
      <c r="A1997" t="inlineStr">
        <is>
          <t>ORD-11100</t>
        </is>
      </c>
      <c r="B1997" s="10" t="inlineStr">
        <is>
          <t>2025-12-21</t>
        </is>
      </c>
      <c r="C1997" t="inlineStr">
        <is>
          <t>Customer 29</t>
        </is>
      </c>
      <c r="D1997" t="inlineStr">
        <is>
          <t>East</t>
        </is>
      </c>
      <c r="E1997" t="inlineStr">
        <is>
          <t>Furniture</t>
        </is>
      </c>
      <c r="F1997" t="inlineStr">
        <is>
          <t>Desk</t>
        </is>
      </c>
      <c r="G1997" t="inlineStr">
        <is>
          <t>First Class</t>
        </is>
      </c>
      <c r="H1997" t="n">
        <v>8</v>
      </c>
      <c r="I1997" s="11" t="n">
        <v>1055.52</v>
      </c>
      <c r="J1997" s="12" t="n">
        <v>0</v>
      </c>
      <c r="K1997" s="11" t="n">
        <v>8444.16</v>
      </c>
      <c r="L1997" s="11" t="n">
        <v>1896.86</v>
      </c>
      <c r="M1997" s="12" t="n">
        <v>0.2246</v>
      </c>
    </row>
    <row r="1998">
      <c r="A1998" t="inlineStr">
        <is>
          <t>ORD-10927</t>
        </is>
      </c>
      <c r="B1998" s="10" t="inlineStr">
        <is>
          <t>2025-12-22</t>
        </is>
      </c>
      <c r="C1998" t="inlineStr">
        <is>
          <t>Customer 88</t>
        </is>
      </c>
      <c r="D1998" t="inlineStr">
        <is>
          <t>South</t>
        </is>
      </c>
      <c r="E1998" t="inlineStr">
        <is>
          <t>Furniture</t>
        </is>
      </c>
      <c r="F1998" t="inlineStr">
        <is>
          <t>Chair</t>
        </is>
      </c>
      <c r="G1998" t="inlineStr">
        <is>
          <t>Standard Class</t>
        </is>
      </c>
      <c r="H1998" t="n">
        <v>1</v>
      </c>
      <c r="I1998" s="11" t="n">
        <v>440.44</v>
      </c>
      <c r="J1998" s="12" t="n">
        <v>0.1</v>
      </c>
      <c r="K1998" s="11" t="n">
        <v>396.4</v>
      </c>
      <c r="L1998" s="11" t="n">
        <v>123.5</v>
      </c>
      <c r="M1998" s="12" t="n">
        <v>0.3116</v>
      </c>
    </row>
    <row r="1999">
      <c r="A1999" t="inlineStr">
        <is>
          <t>ORD-10594</t>
        </is>
      </c>
      <c r="B1999" s="10" t="inlineStr">
        <is>
          <t>2025-12-23</t>
        </is>
      </c>
      <c r="C1999" t="inlineStr">
        <is>
          <t>Customer 81</t>
        </is>
      </c>
      <c r="D1999" t="inlineStr">
        <is>
          <t>West</t>
        </is>
      </c>
      <c r="E1999" t="inlineStr">
        <is>
          <t>Furniture</t>
        </is>
      </c>
      <c r="F1999" t="inlineStr">
        <is>
          <t>Bookcase</t>
        </is>
      </c>
      <c r="G1999" t="inlineStr">
        <is>
          <t>Second Class</t>
        </is>
      </c>
      <c r="H1999" t="n">
        <v>3</v>
      </c>
      <c r="I1999" s="11" t="n">
        <v>1136.56</v>
      </c>
      <c r="J1999" s="12" t="n">
        <v>0</v>
      </c>
      <c r="K1999" s="11" t="n">
        <v>3409.68</v>
      </c>
      <c r="L1999" s="11" t="n">
        <v>1232.3</v>
      </c>
      <c r="M1999" s="12" t="n">
        <v>0.3614</v>
      </c>
    </row>
    <row r="2000">
      <c r="A2000" t="inlineStr">
        <is>
          <t>ORD-10168</t>
        </is>
      </c>
      <c r="B2000" s="10" t="inlineStr">
        <is>
          <t>2025-12-23</t>
        </is>
      </c>
      <c r="C2000" t="inlineStr">
        <is>
          <t>Customer 133</t>
        </is>
      </c>
      <c r="D2000" t="inlineStr">
        <is>
          <t>North</t>
        </is>
      </c>
      <c r="E2000" t="inlineStr">
        <is>
          <t>Furniture</t>
        </is>
      </c>
      <c r="F2000" t="inlineStr">
        <is>
          <t>Desk</t>
        </is>
      </c>
      <c r="G2000" t="inlineStr">
        <is>
          <t>Second Class</t>
        </is>
      </c>
      <c r="H2000" t="n">
        <v>8</v>
      </c>
      <c r="I2000" s="11" t="n">
        <v>168.97</v>
      </c>
      <c r="J2000" s="12" t="n">
        <v>0.1</v>
      </c>
      <c r="K2000" s="11" t="n">
        <v>1216.58</v>
      </c>
      <c r="L2000" s="11" t="n">
        <v>328.4</v>
      </c>
      <c r="M2000" s="12" t="n">
        <v>0.2699</v>
      </c>
    </row>
    <row r="2001">
      <c r="A2001" t="inlineStr">
        <is>
          <t>ORD-10227</t>
        </is>
      </c>
      <c r="B2001" s="10" t="inlineStr">
        <is>
          <t>2025-12-23</t>
        </is>
      </c>
      <c r="C2001" t="inlineStr">
        <is>
          <t>Customer 101</t>
        </is>
      </c>
      <c r="D2001" t="inlineStr">
        <is>
          <t>West</t>
        </is>
      </c>
      <c r="E2001" t="inlineStr">
        <is>
          <t>Technology</t>
        </is>
      </c>
      <c r="F2001" t="inlineStr">
        <is>
          <t>Monitor</t>
        </is>
      </c>
      <c r="G2001" t="inlineStr">
        <is>
          <t>First Class</t>
        </is>
      </c>
      <c r="H2001" t="n">
        <v>5</v>
      </c>
      <c r="I2001" s="11" t="n">
        <v>683.96</v>
      </c>
      <c r="J2001" s="12" t="n">
        <v>0</v>
      </c>
      <c r="K2001" s="11" t="n">
        <v>3419.8</v>
      </c>
      <c r="L2001" s="11" t="n">
        <v>708.53</v>
      </c>
      <c r="M2001" s="12" t="n">
        <v>0.2072</v>
      </c>
    </row>
    <row r="2002">
      <c r="A2002" t="inlineStr">
        <is>
          <t>ORD-11832</t>
        </is>
      </c>
      <c r="B2002" s="10" t="inlineStr">
        <is>
          <t>2025-12-24</t>
        </is>
      </c>
      <c r="C2002" t="inlineStr">
        <is>
          <t>Customer 94</t>
        </is>
      </c>
      <c r="D2002" t="inlineStr">
        <is>
          <t>South</t>
        </is>
      </c>
      <c r="E2002" t="inlineStr">
        <is>
          <t>Office Supplies</t>
        </is>
      </c>
      <c r="F2002" t="inlineStr">
        <is>
          <t>Paper</t>
        </is>
      </c>
      <c r="G2002" t="inlineStr">
        <is>
          <t>Same Day</t>
        </is>
      </c>
      <c r="H2002" t="n">
        <v>4</v>
      </c>
      <c r="I2002" s="11" t="n">
        <v>213.85</v>
      </c>
      <c r="J2002" s="12" t="n">
        <v>0</v>
      </c>
      <c r="K2002" s="11" t="n">
        <v>855.4</v>
      </c>
      <c r="L2002" s="11" t="n">
        <v>357.07</v>
      </c>
      <c r="M2002" s="12" t="n">
        <v>0.4174</v>
      </c>
    </row>
    <row r="2003">
      <c r="A2003" t="inlineStr">
        <is>
          <t>ORD-10887</t>
        </is>
      </c>
      <c r="B2003" s="10" t="inlineStr">
        <is>
          <t>2025-12-24</t>
        </is>
      </c>
      <c r="C2003" t="inlineStr">
        <is>
          <t>Customer 23</t>
        </is>
      </c>
      <c r="D2003" t="inlineStr">
        <is>
          <t>North</t>
        </is>
      </c>
      <c r="E2003" t="inlineStr">
        <is>
          <t>Furniture</t>
        </is>
      </c>
      <c r="F2003" t="inlineStr">
        <is>
          <t>Desk</t>
        </is>
      </c>
      <c r="G2003" t="inlineStr">
        <is>
          <t>First Class</t>
        </is>
      </c>
      <c r="H2003" t="n">
        <v>7</v>
      </c>
      <c r="I2003" s="11" t="n">
        <v>41.65</v>
      </c>
      <c r="J2003" s="12" t="n">
        <v>0</v>
      </c>
      <c r="K2003" s="11" t="n">
        <v>291.55</v>
      </c>
      <c r="L2003" s="11" t="n">
        <v>70.83</v>
      </c>
      <c r="M2003" s="12" t="n">
        <v>0.2429</v>
      </c>
    </row>
    <row r="2004">
      <c r="A2004" t="inlineStr">
        <is>
          <t>ORD-11164</t>
        </is>
      </c>
      <c r="B2004" s="10" t="inlineStr">
        <is>
          <t>2025-12-24</t>
        </is>
      </c>
      <c r="C2004" t="inlineStr">
        <is>
          <t>Customer 162</t>
        </is>
      </c>
      <c r="D2004" t="inlineStr">
        <is>
          <t>East</t>
        </is>
      </c>
      <c r="E2004" t="inlineStr">
        <is>
          <t>Office Supplies</t>
        </is>
      </c>
      <c r="F2004" t="inlineStr">
        <is>
          <t>Binder</t>
        </is>
      </c>
      <c r="G2004" t="inlineStr">
        <is>
          <t>Second Class</t>
        </is>
      </c>
      <c r="H2004" t="n">
        <v>2</v>
      </c>
      <c r="I2004" s="11" t="n">
        <v>786.61</v>
      </c>
      <c r="J2004" s="12" t="n">
        <v>0.2</v>
      </c>
      <c r="K2004" s="11" t="n">
        <v>1258.58</v>
      </c>
      <c r="L2004" s="11" t="n">
        <v>391.94</v>
      </c>
      <c r="M2004" s="12" t="n">
        <v>0.3114</v>
      </c>
    </row>
    <row r="2005">
      <c r="A2005" t="inlineStr">
        <is>
          <t>ORD-11318</t>
        </is>
      </c>
      <c r="B2005" s="10" t="inlineStr">
        <is>
          <t>2025-12-25</t>
        </is>
      </c>
      <c r="C2005" t="inlineStr">
        <is>
          <t>Customer 156</t>
        </is>
      </c>
      <c r="D2005" t="inlineStr">
        <is>
          <t>East</t>
        </is>
      </c>
      <c r="E2005" t="inlineStr">
        <is>
          <t>Technology</t>
        </is>
      </c>
      <c r="F2005" t="inlineStr">
        <is>
          <t>Monitor</t>
        </is>
      </c>
      <c r="G2005" t="inlineStr">
        <is>
          <t>Second Class</t>
        </is>
      </c>
      <c r="H2005" t="n">
        <v>11</v>
      </c>
      <c r="I2005" s="11" t="n">
        <v>1108.79</v>
      </c>
      <c r="J2005" s="12" t="n">
        <v>0</v>
      </c>
      <c r="K2005" s="11" t="n">
        <v>12196.69</v>
      </c>
      <c r="L2005" s="11" t="n">
        <v>3295.63</v>
      </c>
      <c r="M2005" s="12" t="n">
        <v>0.2702</v>
      </c>
    </row>
    <row r="2006">
      <c r="A2006" t="inlineStr">
        <is>
          <t>ORD-10237</t>
        </is>
      </c>
      <c r="B2006" s="10" t="inlineStr">
        <is>
          <t>2025-12-25</t>
        </is>
      </c>
      <c r="C2006" t="inlineStr">
        <is>
          <t>Customer 64</t>
        </is>
      </c>
      <c r="D2006" t="inlineStr">
        <is>
          <t>West</t>
        </is>
      </c>
      <c r="E2006" t="inlineStr">
        <is>
          <t>Office Supplies</t>
        </is>
      </c>
      <c r="F2006" t="inlineStr">
        <is>
          <t>Paper</t>
        </is>
      </c>
      <c r="G2006" t="inlineStr">
        <is>
          <t>Standard Class</t>
        </is>
      </c>
      <c r="H2006" t="n">
        <v>5</v>
      </c>
      <c r="I2006" s="11" t="n">
        <v>487.01</v>
      </c>
      <c r="J2006" s="12" t="n">
        <v>0.2</v>
      </c>
      <c r="K2006" s="11" t="n">
        <v>1948.04</v>
      </c>
      <c r="L2006" s="11" t="n">
        <v>520.96</v>
      </c>
      <c r="M2006" s="12" t="n">
        <v>0.2674</v>
      </c>
    </row>
    <row r="2007">
      <c r="A2007" t="inlineStr">
        <is>
          <t>ORD-11318</t>
        </is>
      </c>
      <c r="B2007" s="10" t="inlineStr">
        <is>
          <t>2025-12-25</t>
        </is>
      </c>
      <c r="C2007" t="inlineStr">
        <is>
          <t>Customer 156</t>
        </is>
      </c>
      <c r="D2007" t="inlineStr">
        <is>
          <t>East</t>
        </is>
      </c>
      <c r="E2007" t="inlineStr">
        <is>
          <t>Technology</t>
        </is>
      </c>
      <c r="F2007" t="inlineStr">
        <is>
          <t>Monitor</t>
        </is>
      </c>
      <c r="G2007" t="inlineStr">
        <is>
          <t>Second Class</t>
        </is>
      </c>
      <c r="H2007" t="n">
        <v>11</v>
      </c>
      <c r="I2007" s="11" t="n">
        <v>1108.79</v>
      </c>
      <c r="J2007" s="12" t="n">
        <v>0</v>
      </c>
      <c r="K2007" s="11" t="n">
        <v>12196.69</v>
      </c>
      <c r="L2007" s="11" t="n">
        <v>3295.63</v>
      </c>
      <c r="M2007" s="12" t="n">
        <v>0.2702</v>
      </c>
    </row>
    <row r="2008">
      <c r="A2008" t="inlineStr">
        <is>
          <t>ORD-10700</t>
        </is>
      </c>
      <c r="B2008" s="10" t="inlineStr">
        <is>
          <t>2025-12-27</t>
        </is>
      </c>
      <c r="C2008" t="inlineStr">
        <is>
          <t>Customer 52</t>
        </is>
      </c>
      <c r="D2008" t="inlineStr">
        <is>
          <t>North</t>
        </is>
      </c>
      <c r="E2008" t="inlineStr">
        <is>
          <t>Technology</t>
        </is>
      </c>
      <c r="F2008" t="inlineStr">
        <is>
          <t>Monitor</t>
        </is>
      </c>
      <c r="G2008" t="inlineStr">
        <is>
          <t>Second Class</t>
        </is>
      </c>
      <c r="H2008" t="n">
        <v>7</v>
      </c>
      <c r="I2008" s="11" t="n">
        <v>1102.48</v>
      </c>
      <c r="J2008" s="12" t="n">
        <v>0</v>
      </c>
      <c r="K2008" s="11" t="n">
        <v>7717.36</v>
      </c>
      <c r="L2008" s="11" t="n">
        <v>3021.34</v>
      </c>
      <c r="M2008" s="12" t="n">
        <v>0.3915</v>
      </c>
    </row>
    <row r="2009">
      <c r="A2009" t="inlineStr">
        <is>
          <t>ORD-11673</t>
        </is>
      </c>
      <c r="B2009" s="10" t="inlineStr">
        <is>
          <t>2025-12-27</t>
        </is>
      </c>
      <c r="C2009" t="inlineStr">
        <is>
          <t>Customer 71</t>
        </is>
      </c>
      <c r="D2009" t="inlineStr">
        <is>
          <t>West</t>
        </is>
      </c>
      <c r="E2009" t="inlineStr">
        <is>
          <t>Technology</t>
        </is>
      </c>
      <c r="F2009" t="inlineStr">
        <is>
          <t>Monitor</t>
        </is>
      </c>
      <c r="G2009" t="inlineStr">
        <is>
          <t>Second Class</t>
        </is>
      </c>
      <c r="H2009" t="n">
        <v>5</v>
      </c>
      <c r="I2009" s="11" t="n">
        <v>663.5700000000001</v>
      </c>
      <c r="J2009" s="12" t="n">
        <v>0.15</v>
      </c>
      <c r="K2009" s="11" t="n">
        <v>2820.17</v>
      </c>
      <c r="L2009" s="11" t="n">
        <v>101.2</v>
      </c>
      <c r="M2009" s="12" t="n">
        <v>0.0359</v>
      </c>
    </row>
    <row r="2010">
      <c r="A2010" t="inlineStr">
        <is>
          <t>ORD-10229</t>
        </is>
      </c>
      <c r="B2010" s="10" t="inlineStr">
        <is>
          <t>2025-12-27</t>
        </is>
      </c>
      <c r="C2010" t="inlineStr">
        <is>
          <t>Customer 160</t>
        </is>
      </c>
      <c r="D2010" t="inlineStr">
        <is>
          <t>West</t>
        </is>
      </c>
      <c r="E2010" t="inlineStr">
        <is>
          <t>Technology</t>
        </is>
      </c>
      <c r="F2010" t="inlineStr">
        <is>
          <t>Printer</t>
        </is>
      </c>
      <c r="G2010" t="inlineStr">
        <is>
          <t>First Class</t>
        </is>
      </c>
      <c r="H2010" t="n">
        <v>3</v>
      </c>
      <c r="I2010" s="11" t="n">
        <v>729.53</v>
      </c>
      <c r="J2010" s="12" t="n">
        <v>0.2</v>
      </c>
      <c r="K2010" s="11" t="n">
        <v>1750.87</v>
      </c>
      <c r="L2010" s="11" t="n">
        <v>392.58</v>
      </c>
      <c r="M2010" s="12" t="n">
        <v>0.2242</v>
      </c>
    </row>
    <row r="2011">
      <c r="A2011" t="inlineStr">
        <is>
          <t>ORD-10706</t>
        </is>
      </c>
      <c r="B2011" s="10" t="inlineStr">
        <is>
          <t>2025-12-28</t>
        </is>
      </c>
      <c r="C2011" t="inlineStr">
        <is>
          <t>Customer 41</t>
        </is>
      </c>
      <c r="D2011" t="inlineStr">
        <is>
          <t>North</t>
        </is>
      </c>
      <c r="E2011" t="inlineStr">
        <is>
          <t>Technology</t>
        </is>
      </c>
      <c r="F2011" t="inlineStr">
        <is>
          <t>Printer</t>
        </is>
      </c>
      <c r="G2011" t="inlineStr">
        <is>
          <t>Same Day</t>
        </is>
      </c>
      <c r="H2011" t="n">
        <v>9</v>
      </c>
      <c r="I2011" s="11" t="n">
        <v>420.71</v>
      </c>
      <c r="J2011" s="12" t="n">
        <v>0</v>
      </c>
      <c r="K2011" s="11" t="n">
        <v>3786.39</v>
      </c>
      <c r="L2011" s="11" t="n">
        <v>1292.75</v>
      </c>
      <c r="M2011" s="12" t="n">
        <v>0.3414</v>
      </c>
    </row>
    <row r="2012">
      <c r="A2012" t="inlineStr">
        <is>
          <t>ORD-11881</t>
        </is>
      </c>
      <c r="B2012" s="10" t="inlineStr">
        <is>
          <t>2025-12-28</t>
        </is>
      </c>
      <c r="C2012" t="inlineStr">
        <is>
          <t>Customer 75</t>
        </is>
      </c>
      <c r="D2012" t="inlineStr">
        <is>
          <t>East</t>
        </is>
      </c>
      <c r="E2012" t="inlineStr">
        <is>
          <t>Technology</t>
        </is>
      </c>
      <c r="F2012" t="inlineStr">
        <is>
          <t>Monitor</t>
        </is>
      </c>
      <c r="G2012" t="inlineStr">
        <is>
          <t>Standard Class</t>
        </is>
      </c>
      <c r="H2012" t="n">
        <v>5</v>
      </c>
      <c r="I2012" s="11" t="n">
        <v>128.94</v>
      </c>
      <c r="J2012" s="12" t="n">
        <v>0</v>
      </c>
      <c r="K2012" s="11" t="n">
        <v>644.7</v>
      </c>
      <c r="L2012" s="11" t="n">
        <v>232.76</v>
      </c>
      <c r="M2012" s="12" t="n">
        <v>0.361</v>
      </c>
    </row>
    <row r="2013">
      <c r="A2013" t="inlineStr">
        <is>
          <t>ORD-10432</t>
        </is>
      </c>
      <c r="B2013" s="10" t="inlineStr">
        <is>
          <t>2025-12-28</t>
        </is>
      </c>
      <c r="C2013" t="inlineStr">
        <is>
          <t>Customer 158</t>
        </is>
      </c>
      <c r="D2013" t="inlineStr">
        <is>
          <t>East</t>
        </is>
      </c>
      <c r="E2013" t="inlineStr">
        <is>
          <t>Furniture</t>
        </is>
      </c>
      <c r="F2013" t="inlineStr">
        <is>
          <t>Chair</t>
        </is>
      </c>
      <c r="G2013" t="inlineStr">
        <is>
          <t>Standard Class</t>
        </is>
      </c>
      <c r="H2013" t="n">
        <v>5</v>
      </c>
      <c r="I2013" s="11" t="n">
        <v>458.05</v>
      </c>
      <c r="J2013" s="12" t="n">
        <v>0</v>
      </c>
      <c r="K2013" s="11" t="n">
        <v>2290.25</v>
      </c>
      <c r="L2013" s="11" t="n">
        <v>369.26</v>
      </c>
      <c r="M2013" s="12" t="n">
        <v>0.1612</v>
      </c>
    </row>
    <row r="2014">
      <c r="A2014" t="inlineStr">
        <is>
          <t>ORD-11639</t>
        </is>
      </c>
      <c r="B2014" s="10" t="inlineStr">
        <is>
          <t>2025-12-29</t>
        </is>
      </c>
      <c r="C2014" t="inlineStr">
        <is>
          <t>Customer 158</t>
        </is>
      </c>
      <c r="D2014" t="inlineStr">
        <is>
          <t>East</t>
        </is>
      </c>
      <c r="E2014" t="inlineStr">
        <is>
          <t>Office Supplies</t>
        </is>
      </c>
      <c r="F2014" t="inlineStr">
        <is>
          <t>Pens (Box)</t>
        </is>
      </c>
      <c r="G2014" t="inlineStr">
        <is>
          <t>First Class</t>
        </is>
      </c>
      <c r="H2014" t="n">
        <v>5</v>
      </c>
      <c r="I2014" s="11" t="n">
        <v>195.56</v>
      </c>
      <c r="J2014" s="12" t="n">
        <v>0</v>
      </c>
      <c r="K2014" s="11" t="n">
        <v>977.8</v>
      </c>
      <c r="L2014" s="11" t="n">
        <v>398.14</v>
      </c>
      <c r="M2014" s="12" t="n">
        <v>0.4072</v>
      </c>
    </row>
    <row r="2015">
      <c r="A2015" t="inlineStr">
        <is>
          <t>ORD-11834</t>
        </is>
      </c>
      <c r="B2015" s="10" t="inlineStr">
        <is>
          <t>2025-12-30</t>
        </is>
      </c>
      <c r="C2015" t="inlineStr">
        <is>
          <t>Customer 144</t>
        </is>
      </c>
      <c r="D2015" t="inlineStr">
        <is>
          <t>South</t>
        </is>
      </c>
      <c r="E2015" t="inlineStr">
        <is>
          <t>Technology</t>
        </is>
      </c>
      <c r="F2015" t="inlineStr">
        <is>
          <t>Laptop</t>
        </is>
      </c>
      <c r="G2015" t="inlineStr">
        <is>
          <t>Second Class</t>
        </is>
      </c>
      <c r="H2015" t="n">
        <v>4</v>
      </c>
      <c r="I2015" s="11" t="n">
        <v>1097.7</v>
      </c>
      <c r="J2015" s="12" t="n">
        <v>0</v>
      </c>
      <c r="K2015" s="11" t="n">
        <v>4390.8</v>
      </c>
      <c r="L2015" s="11" t="n">
        <v>1860.62</v>
      </c>
      <c r="M2015" s="12" t="n">
        <v>0.4238</v>
      </c>
    </row>
    <row r="2016">
      <c r="A2016" t="inlineStr">
        <is>
          <t>ORD-11789</t>
        </is>
      </c>
      <c r="B2016" s="10" t="inlineStr">
        <is>
          <t>2025-12-30</t>
        </is>
      </c>
      <c r="C2016" t="inlineStr">
        <is>
          <t>Customer 76</t>
        </is>
      </c>
      <c r="D2016" t="inlineStr">
        <is>
          <t>South</t>
        </is>
      </c>
      <c r="E2016" t="inlineStr">
        <is>
          <t>Technology</t>
        </is>
      </c>
      <c r="F2016" t="inlineStr">
        <is>
          <t>Laptop</t>
        </is>
      </c>
      <c r="G2016" t="inlineStr">
        <is>
          <t>Second Class</t>
        </is>
      </c>
      <c r="H2016" t="n">
        <v>4</v>
      </c>
      <c r="I2016" s="11" t="n">
        <v>61.11</v>
      </c>
      <c r="J2016" s="12" t="n">
        <v>0</v>
      </c>
      <c r="K2016" s="11" t="n">
        <v>244.44</v>
      </c>
      <c r="L2016" s="11" t="n">
        <v>83.41</v>
      </c>
      <c r="M2016" s="12" t="n">
        <v>0.3412</v>
      </c>
    </row>
    <row r="2017">
      <c r="A2017" t="inlineStr">
        <is>
          <t>ORD-10088</t>
        </is>
      </c>
      <c r="B2017" s="10" t="inlineStr">
        <is>
          <t>2025-12-30</t>
        </is>
      </c>
      <c r="C2017" t="inlineStr">
        <is>
          <t>Customer 114</t>
        </is>
      </c>
      <c r="D2017" t="inlineStr">
        <is>
          <t>South</t>
        </is>
      </c>
      <c r="E2017" t="inlineStr">
        <is>
          <t>Technology</t>
        </is>
      </c>
      <c r="F2017" t="inlineStr">
        <is>
          <t>Wireless Mouse</t>
        </is>
      </c>
      <c r="G2017" t="inlineStr">
        <is>
          <t>First Class</t>
        </is>
      </c>
      <c r="H2017" t="n">
        <v>6</v>
      </c>
      <c r="I2017" s="11" t="n">
        <v>359.15</v>
      </c>
      <c r="J2017" s="12" t="n">
        <v>0</v>
      </c>
      <c r="K2017" s="11" t="n">
        <v>2154.9</v>
      </c>
      <c r="L2017" s="11" t="n">
        <v>974.26</v>
      </c>
      <c r="M2017" s="12" t="n">
        <v>0.4521</v>
      </c>
    </row>
    <row r="2018">
      <c r="A2018" t="inlineStr">
        <is>
          <t>ORD-11572</t>
        </is>
      </c>
      <c r="B2018" s="10" t="inlineStr">
        <is>
          <t>2025-12-30</t>
        </is>
      </c>
      <c r="C2018" t="inlineStr">
        <is>
          <t>Customer 144</t>
        </is>
      </c>
      <c r="D2018" t="inlineStr">
        <is>
          <t>South</t>
        </is>
      </c>
      <c r="E2018" t="inlineStr">
        <is>
          <t>Technology</t>
        </is>
      </c>
      <c r="F2018" t="inlineStr">
        <is>
          <t>Printer</t>
        </is>
      </c>
      <c r="G2018" t="inlineStr">
        <is>
          <t>First Class</t>
        </is>
      </c>
      <c r="H2018" t="n">
        <v>6</v>
      </c>
      <c r="I2018" s="11" t="n">
        <v>856.23</v>
      </c>
      <c r="J2018" s="12" t="n">
        <v>0.15</v>
      </c>
      <c r="K2018" s="11" t="n">
        <v>4366.77</v>
      </c>
      <c r="L2018" s="11" t="n">
        <v>1175.25</v>
      </c>
      <c r="M2018" s="12" t="n">
        <v>0.2691</v>
      </c>
    </row>
    <row r="2019">
      <c r="A2019" t="inlineStr">
        <is>
          <t>ORD-11509</t>
        </is>
      </c>
      <c r="B2019" s="10" t="inlineStr">
        <is>
          <t>2025-12-30</t>
        </is>
      </c>
      <c r="C2019" t="inlineStr">
        <is>
          <t>Customer 184</t>
        </is>
      </c>
      <c r="D2019" t="inlineStr">
        <is>
          <t>East</t>
        </is>
      </c>
      <c r="E2019" t="inlineStr">
        <is>
          <t>Office Supplies</t>
        </is>
      </c>
      <c r="F2019" t="inlineStr">
        <is>
          <t>Pens (Box)</t>
        </is>
      </c>
      <c r="G2019" t="inlineStr">
        <is>
          <t>First Class</t>
        </is>
      </c>
      <c r="H2019" t="n">
        <v>6</v>
      </c>
      <c r="I2019" s="11" t="n">
        <v>721</v>
      </c>
      <c r="J2019" s="12" t="n">
        <v>0.1</v>
      </c>
      <c r="K2019" s="11" t="n">
        <v>3893.4</v>
      </c>
      <c r="L2019" s="11" t="n">
        <v>901.54</v>
      </c>
      <c r="M2019" s="12" t="n">
        <v>0.2316</v>
      </c>
    </row>
  </sheetData>
  <autoFilter ref="A1:M2019"/>
  <conditionalFormatting sqref="L2:L20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019">
    <cfRule type="dataBar" priority="2">
      <dataBar>
        <cfvo type="min"/>
        <cfvo type="max"/>
        <color rgb="00638EC6"/>
      </dataBar>
    </cfRule>
  </conditionalFormatting>
  <conditionalFormatting sqref="J2:J2019">
    <cfRule type="cellIs" priority="3" operator="greaterThanOrEqual" dxfId="0">
      <formula>0.2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5" customWidth="1" min="4" max="4"/>
    <col width="16" customWidth="1" min="5" max="5"/>
    <col width="16" customWidth="1" min="6" max="6"/>
  </cols>
  <sheetData>
    <row r="1">
      <c r="A1" s="13" t="inlineStr">
        <is>
          <t>Pivot-Style Summary Tables</t>
        </is>
      </c>
    </row>
    <row r="2">
      <c r="A2" s="2" t="inlineStr">
        <is>
          <t>All values below are live SUMIFS/AVERAGEIFS/COUNTIFS formulas referencing 'Raw Data'. Select this range and Insert &gt; PivotTable for a native pivot if preferred.</t>
        </is>
      </c>
    </row>
    <row r="4">
      <c r="A4" s="14" t="inlineStr">
        <is>
          <t>Revenue &amp; Profit by Region</t>
        </is>
      </c>
    </row>
    <row r="5">
      <c r="A5" s="9" t="inlineStr">
        <is>
          <t>Region</t>
        </is>
      </c>
      <c r="B5" s="9" t="inlineStr">
        <is>
          <t>Orders</t>
        </is>
      </c>
      <c r="C5" s="9" t="inlineStr">
        <is>
          <t>Total Sales</t>
        </is>
      </c>
      <c r="D5" s="9" t="inlineStr">
        <is>
          <t>Total Profit</t>
        </is>
      </c>
      <c r="E5" s="9" t="inlineStr">
        <is>
          <t>Profit Margin %</t>
        </is>
      </c>
      <c r="F5" s="9" t="inlineStr">
        <is>
          <t>Avg Order Value</t>
        </is>
      </c>
    </row>
    <row r="6">
      <c r="A6" t="inlineStr">
        <is>
          <t>East</t>
        </is>
      </c>
      <c r="B6">
        <f>COUNTIF('Raw Data'!$D$2:$D$2019,A6)</f>
        <v/>
      </c>
      <c r="C6" s="15">
        <f>SUMIF('Raw Data'!$D$2:$D$2019,A6,'Raw Data'!$K$2:$K$2019)</f>
        <v/>
      </c>
      <c r="D6" s="15">
        <f>SUMIF('Raw Data'!$D$2:$D$2019,A6,'Raw Data'!$L$2:$L$2019)</f>
        <v/>
      </c>
      <c r="E6" s="12">
        <f>IFERROR(D6/C6,0)</f>
        <v/>
      </c>
      <c r="F6" s="15">
        <f>IFERROR(C6/B6,0)</f>
        <v/>
      </c>
    </row>
    <row r="7">
      <c r="A7" t="inlineStr">
        <is>
          <t>North</t>
        </is>
      </c>
      <c r="B7">
        <f>COUNTIF('Raw Data'!$D$2:$D$2019,A7)</f>
        <v/>
      </c>
      <c r="C7" s="15">
        <f>SUMIF('Raw Data'!$D$2:$D$2019,A7,'Raw Data'!$K$2:$K$2019)</f>
        <v/>
      </c>
      <c r="D7" s="15">
        <f>SUMIF('Raw Data'!$D$2:$D$2019,A7,'Raw Data'!$L$2:$L$2019)</f>
        <v/>
      </c>
      <c r="E7" s="12">
        <f>IFERROR(D7/C7,0)</f>
        <v/>
      </c>
      <c r="F7" s="15">
        <f>IFERROR(C7/B7,0)</f>
        <v/>
      </c>
    </row>
    <row r="8">
      <c r="A8" t="inlineStr">
        <is>
          <t>South</t>
        </is>
      </c>
      <c r="B8">
        <f>COUNTIF('Raw Data'!$D$2:$D$2019,A8)</f>
        <v/>
      </c>
      <c r="C8" s="15">
        <f>SUMIF('Raw Data'!$D$2:$D$2019,A8,'Raw Data'!$K$2:$K$2019)</f>
        <v/>
      </c>
      <c r="D8" s="15">
        <f>SUMIF('Raw Data'!$D$2:$D$2019,A8,'Raw Data'!$L$2:$L$2019)</f>
        <v/>
      </c>
      <c r="E8" s="12">
        <f>IFERROR(D8/C8,0)</f>
        <v/>
      </c>
      <c r="F8" s="15">
        <f>IFERROR(C8/B8,0)</f>
        <v/>
      </c>
    </row>
    <row r="9">
      <c r="A9" t="inlineStr">
        <is>
          <t>West</t>
        </is>
      </c>
      <c r="B9">
        <f>COUNTIF('Raw Data'!$D$2:$D$2019,A9)</f>
        <v/>
      </c>
      <c r="C9" s="15">
        <f>SUMIF('Raw Data'!$D$2:$D$2019,A9,'Raw Data'!$K$2:$K$2019)</f>
        <v/>
      </c>
      <c r="D9" s="15">
        <f>SUMIF('Raw Data'!$D$2:$D$2019,A9,'Raw Data'!$L$2:$L$2019)</f>
        <v/>
      </c>
      <c r="E9" s="12">
        <f>IFERROR(D9/C9,0)</f>
        <v/>
      </c>
      <c r="F9" s="15">
        <f>IFERROR(C9/B9,0)</f>
        <v/>
      </c>
    </row>
    <row r="10">
      <c r="A10" s="16" t="inlineStr">
        <is>
          <t>Total</t>
        </is>
      </c>
      <c r="B10">
        <f>SUM(B6:B9)</f>
        <v/>
      </c>
      <c r="C10" s="15">
        <f>SUM(C6:C9)</f>
        <v/>
      </c>
      <c r="D10" s="15">
        <f>SUM(D6:D9)</f>
        <v/>
      </c>
    </row>
    <row r="13">
      <c r="A13" s="14" t="inlineStr">
        <is>
          <t>Revenue &amp; Profit by Category</t>
        </is>
      </c>
    </row>
    <row r="14">
      <c r="A14" s="9" t="inlineStr">
        <is>
          <t>Category</t>
        </is>
      </c>
      <c r="B14" s="9" t="inlineStr">
        <is>
          <t>Orders</t>
        </is>
      </c>
      <c r="C14" s="9" t="inlineStr">
        <is>
          <t>Total Sales</t>
        </is>
      </c>
      <c r="D14" s="9" t="inlineStr">
        <is>
          <t>Total Profit</t>
        </is>
      </c>
      <c r="E14" s="9" t="inlineStr">
        <is>
          <t>Profit Margin %</t>
        </is>
      </c>
    </row>
    <row r="15">
      <c r="A15" t="inlineStr">
        <is>
          <t>Furniture</t>
        </is>
      </c>
      <c r="B15">
        <f>COUNTIF('Raw Data'!$E$2:$E$2019,A15)</f>
        <v/>
      </c>
      <c r="C15" s="15">
        <f>SUMIF('Raw Data'!$E$2:$E$2019,A15,'Raw Data'!$K$2:$K$2019)</f>
        <v/>
      </c>
      <c r="D15" s="15">
        <f>SUMIF('Raw Data'!$E$2:$E$2019,A15,'Raw Data'!$L$2:$L$2019)</f>
        <v/>
      </c>
      <c r="E15" s="12">
        <f>IFERROR(D15/C15,0)</f>
        <v/>
      </c>
    </row>
    <row r="16">
      <c r="A16" t="inlineStr">
        <is>
          <t>Office Supplies</t>
        </is>
      </c>
      <c r="B16">
        <f>COUNTIF('Raw Data'!$E$2:$E$2019,A16)</f>
        <v/>
      </c>
      <c r="C16" s="15">
        <f>SUMIF('Raw Data'!$E$2:$E$2019,A16,'Raw Data'!$K$2:$K$2019)</f>
        <v/>
      </c>
      <c r="D16" s="15">
        <f>SUMIF('Raw Data'!$E$2:$E$2019,A16,'Raw Data'!$L$2:$L$2019)</f>
        <v/>
      </c>
      <c r="E16" s="12">
        <f>IFERROR(D16/C16,0)</f>
        <v/>
      </c>
    </row>
    <row r="17">
      <c r="A17" t="inlineStr">
        <is>
          <t>Technology</t>
        </is>
      </c>
      <c r="B17">
        <f>COUNTIF('Raw Data'!$E$2:$E$2019,A17)</f>
        <v/>
      </c>
      <c r="C17" s="15">
        <f>SUMIF('Raw Data'!$E$2:$E$2019,A17,'Raw Data'!$K$2:$K$2019)</f>
        <v/>
      </c>
      <c r="D17" s="15">
        <f>SUMIF('Raw Data'!$E$2:$E$2019,A17,'Raw Data'!$L$2:$L$2019)</f>
        <v/>
      </c>
      <c r="E17" s="12">
        <f>IFERROR(D17/C17,0)</f>
        <v/>
      </c>
    </row>
    <row r="20">
      <c r="A20" s="14" t="inlineStr">
        <is>
          <t>Monthly Sales Trend</t>
        </is>
      </c>
    </row>
    <row r="21">
      <c r="A21" s="9" t="inlineStr">
        <is>
          <t>Month</t>
        </is>
      </c>
      <c r="B21" s="9" t="inlineStr">
        <is>
          <t>Total Sales</t>
        </is>
      </c>
      <c r="C21" s="9" t="inlineStr">
        <is>
          <t>Total Profit</t>
        </is>
      </c>
    </row>
    <row r="22">
      <c r="A22" t="inlineStr">
        <is>
          <t>2024-01</t>
        </is>
      </c>
      <c r="B22" s="15">
        <f>SUMPRODUCT(('Raw Data'!$B$2:$B$2019&gt;=DATE(2024,01,1))*('Raw Data'!$B$2:$B$2019&lt;EDATE(DATE(2024,01,1),1))*'Raw Data'!$K$2:$K$2019)</f>
        <v/>
      </c>
      <c r="C22" s="15">
        <f>SUMPRODUCT(('Raw Data'!$B$2:$B$2019&gt;=DATE(2024,01,1))*('Raw Data'!$B$2:$B$2019&lt;EDATE(DATE(2024,01,1),1))*'Raw Data'!$L$2:$L$2019)</f>
        <v/>
      </c>
    </row>
    <row r="23">
      <c r="A23" t="inlineStr">
        <is>
          <t>2024-02</t>
        </is>
      </c>
      <c r="B23" s="15">
        <f>SUMPRODUCT(('Raw Data'!$B$2:$B$2019&gt;=DATE(2024,02,1))*('Raw Data'!$B$2:$B$2019&lt;EDATE(DATE(2024,02,1),1))*'Raw Data'!$K$2:$K$2019)</f>
        <v/>
      </c>
      <c r="C23" s="15">
        <f>SUMPRODUCT(('Raw Data'!$B$2:$B$2019&gt;=DATE(2024,02,1))*('Raw Data'!$B$2:$B$2019&lt;EDATE(DATE(2024,02,1),1))*'Raw Data'!$L$2:$L$2019)</f>
        <v/>
      </c>
    </row>
    <row r="24">
      <c r="A24" t="inlineStr">
        <is>
          <t>2024-03</t>
        </is>
      </c>
      <c r="B24" s="15">
        <f>SUMPRODUCT(('Raw Data'!$B$2:$B$2019&gt;=DATE(2024,03,1))*('Raw Data'!$B$2:$B$2019&lt;EDATE(DATE(2024,03,1),1))*'Raw Data'!$K$2:$K$2019)</f>
        <v/>
      </c>
      <c r="C24" s="15">
        <f>SUMPRODUCT(('Raw Data'!$B$2:$B$2019&gt;=DATE(2024,03,1))*('Raw Data'!$B$2:$B$2019&lt;EDATE(DATE(2024,03,1),1))*'Raw Data'!$L$2:$L$2019)</f>
        <v/>
      </c>
    </row>
    <row r="25">
      <c r="A25" t="inlineStr">
        <is>
          <t>2024-04</t>
        </is>
      </c>
      <c r="B25" s="15">
        <f>SUMPRODUCT(('Raw Data'!$B$2:$B$2019&gt;=DATE(2024,04,1))*('Raw Data'!$B$2:$B$2019&lt;EDATE(DATE(2024,04,1),1))*'Raw Data'!$K$2:$K$2019)</f>
        <v/>
      </c>
      <c r="C25" s="15">
        <f>SUMPRODUCT(('Raw Data'!$B$2:$B$2019&gt;=DATE(2024,04,1))*('Raw Data'!$B$2:$B$2019&lt;EDATE(DATE(2024,04,1),1))*'Raw Data'!$L$2:$L$2019)</f>
        <v/>
      </c>
    </row>
    <row r="26">
      <c r="A26" t="inlineStr">
        <is>
          <t>2024-05</t>
        </is>
      </c>
      <c r="B26" s="15">
        <f>SUMPRODUCT(('Raw Data'!$B$2:$B$2019&gt;=DATE(2024,05,1))*('Raw Data'!$B$2:$B$2019&lt;EDATE(DATE(2024,05,1),1))*'Raw Data'!$K$2:$K$2019)</f>
        <v/>
      </c>
      <c r="C26" s="15">
        <f>SUMPRODUCT(('Raw Data'!$B$2:$B$2019&gt;=DATE(2024,05,1))*('Raw Data'!$B$2:$B$2019&lt;EDATE(DATE(2024,05,1),1))*'Raw Data'!$L$2:$L$2019)</f>
        <v/>
      </c>
    </row>
    <row r="27">
      <c r="A27" t="inlineStr">
        <is>
          <t>2024-06</t>
        </is>
      </c>
      <c r="B27" s="15">
        <f>SUMPRODUCT(('Raw Data'!$B$2:$B$2019&gt;=DATE(2024,06,1))*('Raw Data'!$B$2:$B$2019&lt;EDATE(DATE(2024,06,1),1))*'Raw Data'!$K$2:$K$2019)</f>
        <v/>
      </c>
      <c r="C27" s="15">
        <f>SUMPRODUCT(('Raw Data'!$B$2:$B$2019&gt;=DATE(2024,06,1))*('Raw Data'!$B$2:$B$2019&lt;EDATE(DATE(2024,06,1),1))*'Raw Data'!$L$2:$L$2019)</f>
        <v/>
      </c>
    </row>
    <row r="28">
      <c r="A28" t="inlineStr">
        <is>
          <t>2024-07</t>
        </is>
      </c>
      <c r="B28" s="15">
        <f>SUMPRODUCT(('Raw Data'!$B$2:$B$2019&gt;=DATE(2024,07,1))*('Raw Data'!$B$2:$B$2019&lt;EDATE(DATE(2024,07,1),1))*'Raw Data'!$K$2:$K$2019)</f>
        <v/>
      </c>
      <c r="C28" s="15">
        <f>SUMPRODUCT(('Raw Data'!$B$2:$B$2019&gt;=DATE(2024,07,1))*('Raw Data'!$B$2:$B$2019&lt;EDATE(DATE(2024,07,1),1))*'Raw Data'!$L$2:$L$2019)</f>
        <v/>
      </c>
    </row>
    <row r="29">
      <c r="A29" t="inlineStr">
        <is>
          <t>2024-08</t>
        </is>
      </c>
      <c r="B29" s="15">
        <f>SUMPRODUCT(('Raw Data'!$B$2:$B$2019&gt;=DATE(2024,08,1))*('Raw Data'!$B$2:$B$2019&lt;EDATE(DATE(2024,08,1),1))*'Raw Data'!$K$2:$K$2019)</f>
        <v/>
      </c>
      <c r="C29" s="15">
        <f>SUMPRODUCT(('Raw Data'!$B$2:$B$2019&gt;=DATE(2024,08,1))*('Raw Data'!$B$2:$B$2019&lt;EDATE(DATE(2024,08,1),1))*'Raw Data'!$L$2:$L$2019)</f>
        <v/>
      </c>
    </row>
    <row r="30">
      <c r="A30" t="inlineStr">
        <is>
          <t>2024-09</t>
        </is>
      </c>
      <c r="B30" s="15">
        <f>SUMPRODUCT(('Raw Data'!$B$2:$B$2019&gt;=DATE(2024,09,1))*('Raw Data'!$B$2:$B$2019&lt;EDATE(DATE(2024,09,1),1))*'Raw Data'!$K$2:$K$2019)</f>
        <v/>
      </c>
      <c r="C30" s="15">
        <f>SUMPRODUCT(('Raw Data'!$B$2:$B$2019&gt;=DATE(2024,09,1))*('Raw Data'!$B$2:$B$2019&lt;EDATE(DATE(2024,09,1),1))*'Raw Data'!$L$2:$L$2019)</f>
        <v/>
      </c>
    </row>
    <row r="31">
      <c r="A31" t="inlineStr">
        <is>
          <t>2024-10</t>
        </is>
      </c>
      <c r="B31" s="15">
        <f>SUMPRODUCT(('Raw Data'!$B$2:$B$2019&gt;=DATE(2024,10,1))*('Raw Data'!$B$2:$B$2019&lt;EDATE(DATE(2024,10,1),1))*'Raw Data'!$K$2:$K$2019)</f>
        <v/>
      </c>
      <c r="C31" s="15">
        <f>SUMPRODUCT(('Raw Data'!$B$2:$B$2019&gt;=DATE(2024,10,1))*('Raw Data'!$B$2:$B$2019&lt;EDATE(DATE(2024,10,1),1))*'Raw Data'!$L$2:$L$2019)</f>
        <v/>
      </c>
    </row>
    <row r="32">
      <c r="A32" t="inlineStr">
        <is>
          <t>2024-11</t>
        </is>
      </c>
      <c r="B32" s="15">
        <f>SUMPRODUCT(('Raw Data'!$B$2:$B$2019&gt;=DATE(2024,11,1))*('Raw Data'!$B$2:$B$2019&lt;EDATE(DATE(2024,11,1),1))*'Raw Data'!$K$2:$K$2019)</f>
        <v/>
      </c>
      <c r="C32" s="15">
        <f>SUMPRODUCT(('Raw Data'!$B$2:$B$2019&gt;=DATE(2024,11,1))*('Raw Data'!$B$2:$B$2019&lt;EDATE(DATE(2024,11,1),1))*'Raw Data'!$L$2:$L$2019)</f>
        <v/>
      </c>
    </row>
    <row r="33">
      <c r="A33" t="inlineStr">
        <is>
          <t>2024-12</t>
        </is>
      </c>
      <c r="B33" s="15">
        <f>SUMPRODUCT(('Raw Data'!$B$2:$B$2019&gt;=DATE(2024,12,1))*('Raw Data'!$B$2:$B$2019&lt;EDATE(DATE(2024,12,1),1))*'Raw Data'!$K$2:$K$2019)</f>
        <v/>
      </c>
      <c r="C33" s="15">
        <f>SUMPRODUCT(('Raw Data'!$B$2:$B$2019&gt;=DATE(2024,12,1))*('Raw Data'!$B$2:$B$2019&lt;EDATE(DATE(2024,12,1),1))*'Raw Data'!$L$2:$L$2019)</f>
        <v/>
      </c>
    </row>
    <row r="34">
      <c r="A34" t="inlineStr">
        <is>
          <t>2025-01</t>
        </is>
      </c>
      <c r="B34" s="15">
        <f>SUMPRODUCT(('Raw Data'!$B$2:$B$2019&gt;=DATE(2025,01,1))*('Raw Data'!$B$2:$B$2019&lt;EDATE(DATE(2025,01,1),1))*'Raw Data'!$K$2:$K$2019)</f>
        <v/>
      </c>
      <c r="C34" s="15">
        <f>SUMPRODUCT(('Raw Data'!$B$2:$B$2019&gt;=DATE(2025,01,1))*('Raw Data'!$B$2:$B$2019&lt;EDATE(DATE(2025,01,1),1))*'Raw Data'!$L$2:$L$2019)</f>
        <v/>
      </c>
    </row>
    <row r="35">
      <c r="A35" t="inlineStr">
        <is>
          <t>2025-02</t>
        </is>
      </c>
      <c r="B35" s="15">
        <f>SUMPRODUCT(('Raw Data'!$B$2:$B$2019&gt;=DATE(2025,02,1))*('Raw Data'!$B$2:$B$2019&lt;EDATE(DATE(2025,02,1),1))*'Raw Data'!$K$2:$K$2019)</f>
        <v/>
      </c>
      <c r="C35" s="15">
        <f>SUMPRODUCT(('Raw Data'!$B$2:$B$2019&gt;=DATE(2025,02,1))*('Raw Data'!$B$2:$B$2019&lt;EDATE(DATE(2025,02,1),1))*'Raw Data'!$L$2:$L$2019)</f>
        <v/>
      </c>
    </row>
    <row r="36">
      <c r="A36" t="inlineStr">
        <is>
          <t>2025-03</t>
        </is>
      </c>
      <c r="B36" s="15">
        <f>SUMPRODUCT(('Raw Data'!$B$2:$B$2019&gt;=DATE(2025,03,1))*('Raw Data'!$B$2:$B$2019&lt;EDATE(DATE(2025,03,1),1))*'Raw Data'!$K$2:$K$2019)</f>
        <v/>
      </c>
      <c r="C36" s="15">
        <f>SUMPRODUCT(('Raw Data'!$B$2:$B$2019&gt;=DATE(2025,03,1))*('Raw Data'!$B$2:$B$2019&lt;EDATE(DATE(2025,03,1),1))*'Raw Data'!$L$2:$L$2019)</f>
        <v/>
      </c>
    </row>
    <row r="37">
      <c r="A37" t="inlineStr">
        <is>
          <t>2025-04</t>
        </is>
      </c>
      <c r="B37" s="15">
        <f>SUMPRODUCT(('Raw Data'!$B$2:$B$2019&gt;=DATE(2025,04,1))*('Raw Data'!$B$2:$B$2019&lt;EDATE(DATE(2025,04,1),1))*'Raw Data'!$K$2:$K$2019)</f>
        <v/>
      </c>
      <c r="C37" s="15">
        <f>SUMPRODUCT(('Raw Data'!$B$2:$B$2019&gt;=DATE(2025,04,1))*('Raw Data'!$B$2:$B$2019&lt;EDATE(DATE(2025,04,1),1))*'Raw Data'!$L$2:$L$2019)</f>
        <v/>
      </c>
    </row>
    <row r="38">
      <c r="A38" t="inlineStr">
        <is>
          <t>2025-05</t>
        </is>
      </c>
      <c r="B38" s="15">
        <f>SUMPRODUCT(('Raw Data'!$B$2:$B$2019&gt;=DATE(2025,05,1))*('Raw Data'!$B$2:$B$2019&lt;EDATE(DATE(2025,05,1),1))*'Raw Data'!$K$2:$K$2019)</f>
        <v/>
      </c>
      <c r="C38" s="15">
        <f>SUMPRODUCT(('Raw Data'!$B$2:$B$2019&gt;=DATE(2025,05,1))*('Raw Data'!$B$2:$B$2019&lt;EDATE(DATE(2025,05,1),1))*'Raw Data'!$L$2:$L$2019)</f>
        <v/>
      </c>
    </row>
    <row r="39">
      <c r="A39" t="inlineStr">
        <is>
          <t>2025-06</t>
        </is>
      </c>
      <c r="B39" s="15">
        <f>SUMPRODUCT(('Raw Data'!$B$2:$B$2019&gt;=DATE(2025,06,1))*('Raw Data'!$B$2:$B$2019&lt;EDATE(DATE(2025,06,1),1))*'Raw Data'!$K$2:$K$2019)</f>
        <v/>
      </c>
      <c r="C39" s="15">
        <f>SUMPRODUCT(('Raw Data'!$B$2:$B$2019&gt;=DATE(2025,06,1))*('Raw Data'!$B$2:$B$2019&lt;EDATE(DATE(2025,06,1),1))*'Raw Data'!$L$2:$L$2019)</f>
        <v/>
      </c>
    </row>
    <row r="40">
      <c r="A40" t="inlineStr">
        <is>
          <t>2025-07</t>
        </is>
      </c>
      <c r="B40" s="15">
        <f>SUMPRODUCT(('Raw Data'!$B$2:$B$2019&gt;=DATE(2025,07,1))*('Raw Data'!$B$2:$B$2019&lt;EDATE(DATE(2025,07,1),1))*'Raw Data'!$K$2:$K$2019)</f>
        <v/>
      </c>
      <c r="C40" s="15">
        <f>SUMPRODUCT(('Raw Data'!$B$2:$B$2019&gt;=DATE(2025,07,1))*('Raw Data'!$B$2:$B$2019&lt;EDATE(DATE(2025,07,1),1))*'Raw Data'!$L$2:$L$2019)</f>
        <v/>
      </c>
    </row>
    <row r="41">
      <c r="A41" t="inlineStr">
        <is>
          <t>2025-08</t>
        </is>
      </c>
      <c r="B41" s="15">
        <f>SUMPRODUCT(('Raw Data'!$B$2:$B$2019&gt;=DATE(2025,08,1))*('Raw Data'!$B$2:$B$2019&lt;EDATE(DATE(2025,08,1),1))*'Raw Data'!$K$2:$K$2019)</f>
        <v/>
      </c>
      <c r="C41" s="15">
        <f>SUMPRODUCT(('Raw Data'!$B$2:$B$2019&gt;=DATE(2025,08,1))*('Raw Data'!$B$2:$B$2019&lt;EDATE(DATE(2025,08,1),1))*'Raw Data'!$L$2:$L$2019)</f>
        <v/>
      </c>
    </row>
    <row r="42">
      <c r="A42" t="inlineStr">
        <is>
          <t>2025-09</t>
        </is>
      </c>
      <c r="B42" s="15">
        <f>SUMPRODUCT(('Raw Data'!$B$2:$B$2019&gt;=DATE(2025,09,1))*('Raw Data'!$B$2:$B$2019&lt;EDATE(DATE(2025,09,1),1))*'Raw Data'!$K$2:$K$2019)</f>
        <v/>
      </c>
      <c r="C42" s="15">
        <f>SUMPRODUCT(('Raw Data'!$B$2:$B$2019&gt;=DATE(2025,09,1))*('Raw Data'!$B$2:$B$2019&lt;EDATE(DATE(2025,09,1),1))*'Raw Data'!$L$2:$L$2019)</f>
        <v/>
      </c>
    </row>
    <row r="43">
      <c r="A43" t="inlineStr">
        <is>
          <t>2025-10</t>
        </is>
      </c>
      <c r="B43" s="15">
        <f>SUMPRODUCT(('Raw Data'!$B$2:$B$2019&gt;=DATE(2025,10,1))*('Raw Data'!$B$2:$B$2019&lt;EDATE(DATE(2025,10,1),1))*'Raw Data'!$K$2:$K$2019)</f>
        <v/>
      </c>
      <c r="C43" s="15">
        <f>SUMPRODUCT(('Raw Data'!$B$2:$B$2019&gt;=DATE(2025,10,1))*('Raw Data'!$B$2:$B$2019&lt;EDATE(DATE(2025,10,1),1))*'Raw Data'!$L$2:$L$2019)</f>
        <v/>
      </c>
    </row>
    <row r="44">
      <c r="A44" t="inlineStr">
        <is>
          <t>2025-11</t>
        </is>
      </c>
      <c r="B44" s="15">
        <f>SUMPRODUCT(('Raw Data'!$B$2:$B$2019&gt;=DATE(2025,11,1))*('Raw Data'!$B$2:$B$2019&lt;EDATE(DATE(2025,11,1),1))*'Raw Data'!$K$2:$K$2019)</f>
        <v/>
      </c>
      <c r="C44" s="15">
        <f>SUMPRODUCT(('Raw Data'!$B$2:$B$2019&gt;=DATE(2025,11,1))*('Raw Data'!$B$2:$B$2019&lt;EDATE(DATE(2025,11,1),1))*'Raw Data'!$L$2:$L$2019)</f>
        <v/>
      </c>
    </row>
    <row r="45">
      <c r="A45" t="inlineStr">
        <is>
          <t>2025-12</t>
        </is>
      </c>
      <c r="B45" s="15">
        <f>SUMPRODUCT(('Raw Data'!$B$2:$B$2019&gt;=DATE(2025,12,1))*('Raw Data'!$B$2:$B$2019&lt;EDATE(DATE(2025,12,1),1))*'Raw Data'!$K$2:$K$2019)</f>
        <v/>
      </c>
      <c r="C45" s="15">
        <f>SUMPRODUCT(('Raw Data'!$B$2:$B$2019&gt;=DATE(2025,12,1))*('Raw Data'!$B$2:$B$2019&lt;EDATE(DATE(2025,12,1),1))*'Raw Data'!$L$2:$L$2019)</f>
        <v/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4" customWidth="1" min="4" max="4"/>
    <col width="26" customWidth="1" min="5" max="5"/>
    <col width="20" customWidth="1" min="6" max="6"/>
  </cols>
  <sheetData>
    <row r="1">
      <c r="A1" s="13" t="inlineStr">
        <is>
          <t>Lookup Functions Demo — INDEX / MATCH</t>
        </is>
      </c>
    </row>
    <row r="2" ht="30" customHeight="1">
      <c r="A2" s="17" t="inlineStr">
        <is>
          <t>Note: XLOOKUP is intentionally not used here because it isn't supported by all Excel/verification environments (older Excel, some viewers). INDEX/MATCH is the portable equivalent and works everywhere XLOOKUP does — swap in XLOOKUP(lookup_value, lookup_array, return_array) directly if your Excel version supports it.</t>
        </is>
      </c>
    </row>
    <row r="4">
      <c r="A4" s="14" t="inlineStr">
        <is>
          <t>Product Reference Table</t>
        </is>
      </c>
      <c r="E4" s="14" t="inlineStr">
        <is>
          <t>Try it — type a product name below:</t>
        </is>
      </c>
    </row>
    <row r="5">
      <c r="A5" s="9" t="inlineStr">
        <is>
          <t>Product</t>
        </is>
      </c>
      <c r="B5" s="9" t="inlineStr">
        <is>
          <t>Category</t>
        </is>
      </c>
      <c r="C5" s="9" t="inlineStr">
        <is>
          <t>AvgUnitPrice</t>
        </is>
      </c>
      <c r="E5" t="inlineStr">
        <is>
          <t>Product:</t>
        </is>
      </c>
      <c r="F5" s="18" t="inlineStr">
        <is>
          <t>Binder</t>
        </is>
      </c>
    </row>
    <row r="6">
      <c r="A6" t="inlineStr">
        <is>
          <t>Binder</t>
        </is>
      </c>
      <c r="B6" t="inlineStr">
        <is>
          <t>Office Supplies</t>
        </is>
      </c>
      <c r="C6" s="11" t="n">
        <v>593.61</v>
      </c>
      <c r="E6" t="inlineStr">
        <is>
          <t>Category (INDEX/MATCH):</t>
        </is>
      </c>
      <c r="F6">
        <f>INDEX($B$6:$B$17,MATCH($F$5,$A$6:$A$17,0))</f>
        <v/>
      </c>
    </row>
    <row r="7">
      <c r="A7" t="inlineStr">
        <is>
          <t>Bookcase</t>
        </is>
      </c>
      <c r="B7" t="inlineStr">
        <is>
          <t>Furniture</t>
        </is>
      </c>
      <c r="C7" s="11" t="n">
        <v>584.85</v>
      </c>
      <c r="E7" t="inlineStr">
        <is>
          <t>Avg Unit Price (INDEX/MATCH):</t>
        </is>
      </c>
      <c r="F7" s="11">
        <f>INDEX($C$6:$C$17,MATCH($F$5,$A$6:$A$17,0))</f>
        <v/>
      </c>
    </row>
    <row r="8">
      <c r="A8" t="inlineStr">
        <is>
          <t>Chair</t>
        </is>
      </c>
      <c r="B8" t="inlineStr">
        <is>
          <t>Furniture</t>
        </is>
      </c>
      <c r="C8" s="11" t="n">
        <v>578.77</v>
      </c>
    </row>
    <row r="9">
      <c r="A9" t="inlineStr">
        <is>
          <t>Desk</t>
        </is>
      </c>
      <c r="B9" t="inlineStr">
        <is>
          <t>Furniture</t>
        </is>
      </c>
      <c r="C9" s="11" t="n">
        <v>608.3200000000001</v>
      </c>
    </row>
    <row r="10">
      <c r="A10" t="inlineStr">
        <is>
          <t>Laptop</t>
        </is>
      </c>
      <c r="B10" t="inlineStr">
        <is>
          <t>Technology</t>
        </is>
      </c>
      <c r="C10" s="11" t="n">
        <v>646.3099999999999</v>
      </c>
    </row>
    <row r="11">
      <c r="A11" t="inlineStr">
        <is>
          <t>Monitor</t>
        </is>
      </c>
      <c r="B11" t="inlineStr">
        <is>
          <t>Technology</t>
        </is>
      </c>
      <c r="C11" s="11" t="n">
        <v>654.8099999999999</v>
      </c>
    </row>
    <row r="12">
      <c r="A12" t="inlineStr">
        <is>
          <t>Paper</t>
        </is>
      </c>
      <c r="B12" t="inlineStr">
        <is>
          <t>Office Supplies</t>
        </is>
      </c>
      <c r="C12" s="11" t="n">
        <v>589.11</v>
      </c>
    </row>
    <row r="13">
      <c r="A13" t="inlineStr">
        <is>
          <t>Pens (Box)</t>
        </is>
      </c>
      <c r="B13" t="inlineStr">
        <is>
          <t>Office Supplies</t>
        </is>
      </c>
      <c r="C13" s="11" t="n">
        <v>612.58</v>
      </c>
    </row>
    <row r="14">
      <c r="A14" t="inlineStr">
        <is>
          <t>Printer</t>
        </is>
      </c>
      <c r="B14" t="inlineStr">
        <is>
          <t>Technology</t>
        </is>
      </c>
      <c r="C14" s="11" t="n">
        <v>587.34</v>
      </c>
    </row>
    <row r="15">
      <c r="A15" t="inlineStr">
        <is>
          <t>Stapler</t>
        </is>
      </c>
      <c r="B15" t="inlineStr">
        <is>
          <t>Office Supplies</t>
        </is>
      </c>
      <c r="C15" s="11" t="n">
        <v>592.64</v>
      </c>
    </row>
    <row r="16">
      <c r="A16" t="inlineStr">
        <is>
          <t>Table Lamp</t>
        </is>
      </c>
      <c r="B16" t="inlineStr">
        <is>
          <t>Furniture</t>
        </is>
      </c>
      <c r="C16" s="11" t="n">
        <v>584.0599999999999</v>
      </c>
    </row>
    <row r="17">
      <c r="A17" t="inlineStr">
        <is>
          <t>Wireless Mouse</t>
        </is>
      </c>
      <c r="B17" t="inlineStr">
        <is>
          <t>Technology</t>
        </is>
      </c>
      <c r="C17" s="11" t="n">
        <v>597.24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2026-09-02T04:39:58Z</dcterms:created>
  <dcterms:modified xmlns:dcterms="http://purl.org/dc/terms/" xmlns:xsi="http://www.w3.org/2001/XMLSchema-instance" xsi:type="dcterms:W3CDTF">2026-09-02T04:39:58Z</dcterms:modified>
</cp:coreProperties>
</file>